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TEST SUMMARY" sheetId="2" r:id="rId6"/>
    <sheet state="visible" name="Test Report" sheetId="3" r:id="rId7"/>
    <sheet state="visible" name="LOG" sheetId="4" r:id="rId8"/>
    <sheet state="visible" name="REGISTER" sheetId="5" r:id="rId9"/>
    <sheet state="visible" name="BOOKING" sheetId="6" r:id="rId10"/>
    <sheet state="visible" name="APPOINTMENT" sheetId="7" r:id="rId11"/>
    <sheet state="visible" name="MEDICAL" sheetId="8" r:id="rId12"/>
    <sheet state="visible" name="DS_ADMIN" sheetId="9" r:id="rId13"/>
    <sheet state="visible" name="MYAPPOINTMENT" sheetId="10" r:id="rId14"/>
    <sheet state="visible" name="HISTORY" sheetId="11" r:id="rId15"/>
    <sheet state="visible" name="WORKSCHEDULE" sheetId="12" r:id="rId16"/>
    <sheet state="visible" name="NOTIFICATION" sheetId="13" r:id="rId17"/>
    <sheet state="visible" name="DOCTOR" sheetId="14" r:id="rId18"/>
    <sheet state="visible" name="SPECIALTY" sheetId="15" r:id="rId19"/>
    <sheet state="visible" name="DRUG_CATEGORY" sheetId="16" r:id="rId20"/>
    <sheet state="visible" name="STAT" sheetId="17" r:id="rId21"/>
  </sheets>
  <definedNames>
    <definedName name="ACTION">#REF!</definedName>
  </definedNames>
  <calcPr/>
</workbook>
</file>

<file path=xl/sharedStrings.xml><?xml version="1.0" encoding="utf-8"?>
<sst xmlns="http://schemas.openxmlformats.org/spreadsheetml/2006/main" count="1404" uniqueCount="964">
  <si>
    <t>TEST SUMMARY</t>
  </si>
  <si>
    <t>TEST REPORT</t>
  </si>
  <si>
    <t>TEST CASE</t>
  </si>
  <si>
    <r>
      <rPr>
        <rFont val="Tahoma"/>
        <b/>
        <color rgb="FF993300"/>
        <sz val="13.0"/>
      </rPr>
      <t>Project Name:</t>
    </r>
    <r>
      <rPr>
        <rFont val="Tahoma"/>
        <b/>
        <color theme="1"/>
        <sz val="13.0"/>
      </rPr>
      <t xml:space="preserve"> SpringMediCareWeb - Testing</t>
    </r>
  </si>
  <si>
    <t>Version:</t>
  </si>
  <si>
    <t>Note:</t>
  </si>
  <si>
    <t>1.0</t>
  </si>
  <si>
    <t>Final test execution summary after retesting.</t>
  </si>
  <si>
    <t>System Name：</t>
  </si>
  <si>
    <t>Test Result Summary:</t>
  </si>
  <si>
    <t>SpringMediCareWeb</t>
  </si>
  <si>
    <t>Date</t>
  </si>
  <si>
    <t>Issue date:</t>
  </si>
  <si>
    <t>Module Code：</t>
  </si>
  <si>
    <t>AUTH - Login</t>
  </si>
  <si>
    <t>No.</t>
  </si>
  <si>
    <t>No</t>
  </si>
  <si>
    <t>Test requirement:</t>
  </si>
  <si>
    <t>Login and Authentication</t>
  </si>
  <si>
    <t>Project Name:</t>
  </si>
  <si>
    <t>Module</t>
  </si>
  <si>
    <t>SpringMediCare</t>
  </si>
  <si>
    <t>Module code</t>
  </si>
  <si>
    <t>Total TC</t>
  </si>
  <si>
    <t>Initial Pass</t>
  </si>
  <si>
    <t>Initial Fail</t>
  </si>
  <si>
    <t>Pass</t>
  </si>
  <si>
    <t>Retest Pass</t>
  </si>
  <si>
    <t>Fail</t>
  </si>
  <si>
    <t>Pending</t>
  </si>
  <si>
    <t>Number of  test cases</t>
  </si>
  <si>
    <t>Final Pass</t>
  </si>
  <si>
    <t>Final Fail</t>
  </si>
  <si>
    <t>Login</t>
  </si>
  <si>
    <t>Number of test cases:</t>
  </si>
  <si>
    <t>Project Code:</t>
  </si>
  <si>
    <t>ID</t>
  </si>
  <si>
    <t>SMC</t>
  </si>
  <si>
    <t>Test Case Description</t>
  </si>
  <si>
    <t>Test Case Procedure</t>
  </si>
  <si>
    <t>Expected Results</t>
  </si>
  <si>
    <t>Actual Results</t>
  </si>
  <si>
    <t>Test date</t>
  </si>
  <si>
    <t>Status</t>
  </si>
  <si>
    <t>Note</t>
  </si>
  <si>
    <t>Retest Date</t>
  </si>
  <si>
    <t>Lịch sử thay đổi</t>
  </si>
  <si>
    <t>Retest Status</t>
  </si>
  <si>
    <t>Retest Evidence</t>
  </si>
  <si>
    <t>Ngày</t>
  </si>
  <si>
    <t>Phiên bản</t>
  </si>
  <si>
    <t>Vị trí thay đổi</t>
  </si>
  <si>
    <t>Mô tả thay đổi</t>
  </si>
  <si>
    <t>Người thực hiện</t>
  </si>
  <si>
    <t>LOG</t>
  </si>
  <si>
    <t>Kiểm thử lần đầu chức năng Đăng nhập: 10 test case, gồm 9 Pass và 1 Fail; sau khi khắc phục, test case lỗi được Retest và đạt Pass.</t>
  </si>
  <si>
    <t>Dương Lê Kim Phụng</t>
  </si>
  <si>
    <t>1. Kiểm tra đăng ký hợp lệ</t>
  </si>
  <si>
    <t>1.1</t>
  </si>
  <si>
    <t>REGISTER</t>
  </si>
  <si>
    <t>Kiểm thử lần đầu chức năng Đăng ký: 19 test case, gồm 11 Pass và 8 Fail.</t>
  </si>
  <si>
    <t>1.2</t>
  </si>
  <si>
    <t>Retest 8 test case Đăng ký bị Fail sau khi khắc phục; tất cả đều đạt Pass.</t>
  </si>
  <si>
    <t>1.3</t>
  </si>
  <si>
    <t>BOOKING</t>
  </si>
  <si>
    <t>Kiểm thử lần đầu chức năng Đặt lịch: 8 test case, gồm 7 Pass và 1 Fail; test case lỗi được Retest và đạt Pass.</t>
  </si>
  <si>
    <t>Register</t>
  </si>
  <si>
    <t>TC-LOGIN-001</t>
  </si>
  <si>
    <t>Kiểm tra đăng nhập thành công bằng tên đăng nhập hợp lệ</t>
  </si>
  <si>
    <t>1.4</t>
  </si>
  <si>
    <t>1: Mở trang đăng nhập 
2: Nhập tài khoản hợp lệ 
3: Nhập đúng mật khẩu 
4: Nhấn Đăng nhập 
5: Kiểm tra đăng nhập thành công, chuyển đúng trang và hiển thị trạng thái đã đăng nhập</t>
  </si>
  <si>
    <t>APPOINTMENT</t>
  </si>
  <si>
    <t>Kiểm thử lần đầu chức năng Quản lý lịch hẹn: 9 test case, gồm 5 Pass và 4 Fail.</t>
  </si>
  <si>
    <t>Hệ thống đăng nhập thành công, chuyển đến trang chủ, hiển thị tên người dùng và nút Đăng xuất.</t>
  </si>
  <si>
    <t>1.5</t>
  </si>
  <si>
    <t>APPOINTMENT, MEDICAL</t>
  </si>
  <si>
    <t>Retest các test case Lịch hẹn đã được khắc phục; đồng thời thực hiện kiểm thử lần đầu chức năng Hồ sơ y tế với 9 test case, gồm 7 Pass và 2 Fail.</t>
  </si>
  <si>
    <t>TCLog1_1,
TCLog1_2</t>
  </si>
  <si>
    <t>1.6</t>
  </si>
  <si>
    <t>MEDICAL</t>
  </si>
  <si>
    <t>Retest 2 test case Hồ sơ y tế bị Fail sau khi khắc phục; cả 2 đều đạt Pass.</t>
  </si>
  <si>
    <t>1.7</t>
  </si>
  <si>
    <t>DS_ADMIN</t>
  </si>
  <si>
    <t>Kiểm thử lần đầu chức năng Quản lý lịch làm việc bác sĩ; ghi nhận các test case Pass và các trường hợp Fail cần khắc phục.</t>
  </si>
  <si>
    <t>1.8</t>
  </si>
  <si>
    <t>Retest các test case Quản lý lịch làm việc bác sĩ đã được khắc phục; các trường hợp được kiểm tra lại đạt Pass.</t>
  </si>
  <si>
    <t>1.9</t>
  </si>
  <si>
    <t>Tiếp tục kiểm thử chức năng Quản lý lịch làm việc bác sĩ và Retest trường hợp lỗi sau khi khắc phục.</t>
  </si>
  <si>
    <t>1.10</t>
  </si>
  <si>
    <t>MYAPPOINTMENT</t>
  </si>
  <si>
    <t>Kiểm thử chức năng Lịch hẹn của tôi: 5 test case và tất cả đều đạt Pass.</t>
  </si>
  <si>
    <t>1.11</t>
  </si>
  <si>
    <t>HISTORY</t>
  </si>
  <si>
    <t>Kiểm thử lần đầu chức năng Lịch sử khám bệnh; ghi nhận 1 test case Fail cần khắc phục.</t>
  </si>
  <si>
    <t>Đăng nhập thành công, hệ thống chuyển trang hiện giao diện người dùng</t>
  </si>
  <si>
    <t>1.12</t>
  </si>
  <si>
    <t>HISTORY, WORKSCHEDULE</t>
  </si>
  <si>
    <t>Booking</t>
  </si>
  <si>
    <t>Tiếp tục kiểm thử chức năng Lịch sử khám bệnh và Lịch làm việc của bác sĩ; Retest test case TC-MEDICALHISTORY-004 sau khi khắc phục và đạt Pass.</t>
  </si>
  <si>
    <t>1.13</t>
  </si>
  <si>
    <t>NOTIFICATION</t>
  </si>
  <si>
    <t>TC-LOGIN-002</t>
  </si>
  <si>
    <t>Kiểm tra đăng nhập thành công bằng email hợp lệ</t>
  </si>
  <si>
    <t>Kiểm thử lần đầu chức năng Thông báo; ghi nhận các trường hợp Pass và Fail để tiến hành khắc phục, đồng thời Retest một số test case đã sửa.</t>
  </si>
  <si>
    <t>1: Mở trang đăng nhập 
2: Nhập email hợp lệ 
3: Nhập đúng mật khẩu 
4: Nhấn Đăng nhập 
5: Kiểm tra đăng nhập thành công và chuyển đến trang phù hợp với vai trò</t>
  </si>
  <si>
    <t>Hệ thống đăng nhập thành công và chuyển đến trang chính đúng với vai trò người dùng</t>
  </si>
  <si>
    <t>1.14</t>
  </si>
  <si>
    <t>TCLog2</t>
  </si>
  <si>
    <t>Tiếp tục Retest các test case Thông báo đã được khắc phục; các trường hợp TC-NOTIFICATION-006 và TC-NOTIFICATION-007 đạt Pass.</t>
  </si>
  <si>
    <t>1.15</t>
  </si>
  <si>
    <t>BOOKING, DOCTOR, SPECIALTY</t>
  </si>
  <si>
    <t>Bổ sung kiểm thử chức năng Đặt lịch, đồng thời thực hiện kiểm thử chức năng Quản lý bác sĩ và Quản lý chuyên khoa.</t>
  </si>
  <si>
    <t>1.17</t>
  </si>
  <si>
    <t>DRUG_CATEGORY</t>
  </si>
  <si>
    <t>Kiểm thử chức năng Quản lý danh mục thuốc; ghi nhận các trường hợp Pass và trường hợp lỗi cần khắc phục.</t>
  </si>
  <si>
    <t>1.18</t>
  </si>
  <si>
    <t>STAT</t>
  </si>
  <si>
    <t>Kiểm thử chức năng Thống kê; các test case đã thực hiện đều đạt Pass.</t>
  </si>
  <si>
    <t>Hệ thống không cho đăng nhập bằng email đã tồn tại và hiển thị thông báo “Sai tên đăng nhập hoặc mật khẩu”.</t>
  </si>
  <si>
    <t>2,0</t>
  </si>
  <si>
    <t>TEST SUMMARY, Test Report, Cover</t>
  </si>
  <si>
    <t>TCLog2Retest_1,TCLog2Retest_2</t>
  </si>
  <si>
    <t>Tổng hợp kết quả kiểm thử, cập nhật Test Summary, Test Report và hoàn thiện tài liệu test case.</t>
  </si>
  <si>
    <t>Appointment</t>
  </si>
  <si>
    <t>2. Kiểm tra validation dữ liệu bắt buộc</t>
  </si>
  <si>
    <t>TC-LOGIN-003</t>
  </si>
  <si>
    <t>Kiểm tra không thể đăng nhập khi bỏ trống tên đăng nhập</t>
  </si>
  <si>
    <t>1: Mở trang đăng nhập 
2: Để trống tên đăng nhập 
3: Nhập mật khẩu 
4: Nhấn Đăng nhập 
5: Kiểm tra thông báo validation và xác nhận không đăng nhập</t>
  </si>
  <si>
    <t>Hệ thống hiển thị thông báo yêu cầu nhập tài khoản và không cho đăng nhập</t>
  </si>
  <si>
    <t>TCLog3</t>
  </si>
  <si>
    <t>Validation hoạt động đúng khi người dùng để trống tên đăng nhập.</t>
  </si>
  <si>
    <t>TC-LOGIN-004</t>
  </si>
  <si>
    <t>Kiểm tra không thể đăng nhập khi bỏ trống mật khẩu</t>
  </si>
  <si>
    <t>1: Mở trang đăng nhập 
2: Nhập tên đăng nhập hợp lệ 
3: Để trống mật khẩu 
4: Nhấn Đăng nhập 
5: Kiểm tra thông báo validation và xác nhận không đăng nhập</t>
  </si>
  <si>
    <t>Hệ thống hiển thị thông báo yêu cầu nhập mật khẩu và không cho đăng nhập</t>
  </si>
  <si>
    <t>TCLog4</t>
  </si>
  <si>
    <t>Validation hoạt động đúng khi người dùng để trống mật khẩu</t>
  </si>
  <si>
    <t>Medical</t>
  </si>
  <si>
    <t>TC-LOGIN-005</t>
  </si>
  <si>
    <t>Kiểm tra không thể đăng nhập khi bỏ trống tên đăng nhập và mật khẩu</t>
  </si>
  <si>
    <t>1: Mở trang đăng nhập 
2: Để trống tên đăng nhập 
3: Để trống mật khẩu 
4: Nhấn Đăng nhập 
5: Kiểm tra validation các trường bắt buộc và xác nhận không đăng nhập</t>
  </si>
  <si>
    <t>Hệ thống hiển thị thông báo yêu cầu nhập đầy đủ thông tin đăng nhập</t>
  </si>
  <si>
    <t>TCLog5</t>
  </si>
  <si>
    <t>Validation hoạt động đúng khi người dùng để trống mật khẩu và tên đăng nhập</t>
  </si>
  <si>
    <t>3. Kiểm tra dữ liệu đăng ký không hợp lệ</t>
  </si>
  <si>
    <t>TC-LOGIN-006</t>
  </si>
  <si>
    <t>Kiểm tra không thể đăng nhập khi nhập sai mật khẩu</t>
  </si>
  <si>
    <t>1: Mở trang đăng nhập 
2: Nhập tên đăng nhập hợp lệ 
3: Nhập mật khẩu sai 
4: Nhấn Đăng nhập 
5: Kiểm tra thông báo lỗi và xác nhận không đăng nhập</t>
  </si>
  <si>
    <t>Hệ thống không cho đăng nhập và hiển thị thông báo sai tài khoản hoặc mật khẩu</t>
  </si>
  <si>
    <t>TCLog6</t>
  </si>
  <si>
    <t>Validation hoạt động đúng khi người dùng nhập sai mật khẩu</t>
  </si>
  <si>
    <t>Doctor Schedule Admin</t>
  </si>
  <si>
    <t>TC-LOGIN-007</t>
  </si>
  <si>
    <t>Kiểm tra không thể đăng nhập với tài khoản không tồn tại</t>
  </si>
  <si>
    <t>1: Mở trang đăng nhập 
2: Nhập tài khoản không tồn tại 
3: Nhập mật khẩu bất kỳ 
4: Nhấn Đăng nhập 
5: Kiểm tra thông báo lỗi và xác nhận không đăng nhập</t>
  </si>
  <si>
    <t>TCLog7</t>
  </si>
  <si>
    <t>Validation hoạt động đúng khi người dùng nhập sai tên đăng nhập</t>
  </si>
  <si>
    <t xml:space="preserve">4. Kiểm tra xử lý sau khi đăng nhập        </t>
  </si>
  <si>
    <t>TC-LOGIN-008</t>
  </si>
  <si>
    <t>Kiểm tra đăng xuất thành công sau khi đã đăng nhập</t>
  </si>
  <si>
    <t>1: Đăng nhập thành công 
2: Nhấn Đăng xuất 
3: Kiểm tra đăng xuất thành công và hệ thống chuyển về trạng thái chưa đăng nhập</t>
  </si>
  <si>
    <t>Hệ thống đăng xuất thành công và chuyển về trang đăng nhập hoặc trang chủ</t>
  </si>
  <si>
    <t>TCLog8_1, TCLog8_2</t>
  </si>
  <si>
    <t>My Appointment</t>
  </si>
  <si>
    <t>Đăng nhập thành công, hệ thống chuyển trang hiện giao diện chưa đăng nhập</t>
  </si>
  <si>
    <t>TC-LOGIN-009</t>
  </si>
  <si>
    <t>Kiểm tra không thể truy cập trang yêu cầu xác thực khi chưa đăng nhập</t>
  </si>
  <si>
    <t>1: Đảm bảo người dùng chưa đăng nhập 
2: Truy cập trực tiếp URL trang yêu cầu đăng nhập 
3: Kiểm tra hệ thống chặn truy cập và chuyển về trang đăng nhập hoặc yêu cầu đăng nhập</t>
  </si>
  <si>
    <t>Hệ thống không cho truy cập và và hiện thông báo vui lòng đăng nhập</t>
  </si>
  <si>
    <t>TCLog9</t>
  </si>
  <si>
    <t>Hệ thống thực hiện đúng, không cho truy câp trang khi chưa đăng nhập</t>
  </si>
  <si>
    <t>TC-LOGIN-010</t>
  </si>
  <si>
    <t>Kiểm tra trạng thái đăng nhập sau khi đăng xuất và quay lại trang trước</t>
  </si>
  <si>
    <t>1: Đăng nhập thành công 
2: Nhấn Đăng xuất 
3: Nhấn nút Back của trình duyệt 
4: Kiểm tra người dùng không thể quay lại trạng thái đã đăng nhập</t>
  </si>
  <si>
    <t>Hệ thống hiện trang chủ khi chưa đăng nhập</t>
  </si>
  <si>
    <t>TCLog10_1,TCLog10_2, TCLog10_3</t>
  </si>
  <si>
    <t>History</t>
  </si>
  <si>
    <t>Hệ thống thực hiện đúng</t>
  </si>
  <si>
    <t>Work Schedule</t>
  </si>
  <si>
    <t>Notification</t>
  </si>
  <si>
    <t>Doctor</t>
  </si>
  <si>
    <t>Specialty</t>
  </si>
  <si>
    <t>Drug Category</t>
  </si>
  <si>
    <t>Statistics</t>
  </si>
  <si>
    <t>Tổng</t>
  </si>
  <si>
    <t>Sub total</t>
  </si>
  <si>
    <t>Test coverage</t>
  </si>
  <si>
    <t>%</t>
  </si>
  <si>
    <t>Test successful coverage</t>
  </si>
  <si>
    <t>AUTH - Register</t>
  </si>
  <si>
    <t>User Registration</t>
  </si>
  <si>
    <t>TC-REGISTER-001</t>
  </si>
  <si>
    <t>Kiểm tra đăng ký tài khoản với thông tin hợp lệ</t>
  </si>
  <si>
    <t>1: Mở trang đăng ký. 
2: Nhập đầy đủ thông tin hợp lệ. 
3: Chọn ảnh đại diện hợp lệ. 
4: Nhấn nút Đăng ký. 
5: Kiểm tra kết quả sau khi nhấn Đăng ký.</t>
  </si>
  <si>
    <t>Hệ thống tạo tài khoản thành công, hiển thị thông báo phù hợp và chuyển người dùng đến trang đăng nhập.</t>
  </si>
  <si>
    <t>TCRegister1_1, TCRegister1_2, TCRegister1_3</t>
  </si>
  <si>
    <t>Đăng ký thành công, hệ thống chuyển trang đăng nhập</t>
  </si>
  <si>
    <t>TC-REGISTER-002</t>
  </si>
  <si>
    <t>Kiểm tra đăng ký khi không chọn ảnh đại diện</t>
  </si>
  <si>
    <t>1: Mở trang đăng ký. 
2: Nhập đầy đủ thông tin hợp lệ. 
3: Không chọn ảnh đại diện. 
4: Nhấn nút Đăng ký. 
5: Kiểm tra kết quả sau khi nhấn Đăng ký.</t>
  </si>
  <si>
    <t>Hệ thống không tạo tài khoản và hiển thị thông báo yêu cầu chọn ảnh đại diện.</t>
  </si>
  <si>
    <t>TCRegister2</t>
  </si>
  <si>
    <t>Hệ thống không cho đăng ký khi chưa chọn ảnh đại diện và hiển thị thông báo yêu cầu chọn ảnh.</t>
  </si>
  <si>
    <t>TC-REGISTER-003</t>
  </si>
  <si>
    <t>Kiểm tra đăng ký khi bỏ trống họ</t>
  </si>
  <si>
    <t>1: Mở trang đăng ký. 
2: Để trống trường Họ. 
3: Nhập hợp lệ các trường còn lại. 
4: Nhấn nút Đăng ký. 
5: Kiểm tra kết quả sau khi nhấn Đăng ký.</t>
  </si>
  <si>
    <t>Hệ thống không tạo tài khoản và hiển thị yêu cầu nhập họ.</t>
  </si>
  <si>
    <t>TCRegister3</t>
  </si>
  <si>
    <t>TC-REGISTER-004</t>
  </si>
  <si>
    <t>Kiểm tra đăng ký khi bỏ trống tên</t>
  </si>
  <si>
    <t>1: Mở trang đăng ký. 
2: Để trống trường Tên. 
3: Nhập hợp lệ các trường còn lại. 
4: Nhấn nút Đăng ký. 
5: Kiểm tra kết quả sau khi nhấn Đăng ký.</t>
  </si>
  <si>
    <t>Hệ thống không tạo tài khoản và hiển thị yêu cầu nhập tên.</t>
  </si>
  <si>
    <t>TCRegister4</t>
  </si>
  <si>
    <t>TC-REGISTER-005</t>
  </si>
  <si>
    <t>Kiểm tra đăng ký khi bỏ trống email</t>
  </si>
  <si>
    <t>1: Mở trang đăng ký. 
2: Để trống trường Email. 
3: Nhập hợp lệ các trường còn lại. 
4: Nhấn nút Đăng ký. 
5: Kiểm tra kết quả sau khi nhấn Đăng ký.</t>
  </si>
  <si>
    <t>Hệ thống không tạo tài khoản và hiển thị yêu cầu nhập email.</t>
  </si>
  <si>
    <t>TCRegister5</t>
  </si>
  <si>
    <t>TC-REGISTER-006</t>
  </si>
  <si>
    <t>Kiểm tra đăng ký khi bỏ trống số điện thoại</t>
  </si>
  <si>
    <t>1: Mở trang đăng ký. 
2: Để trống trường Số điện thoại. 
3: Nhập hợp lệ các trường còn lại. 
4: Nhấn nút Đăng ký. 
5: Kiểm tra kết quả sau khi nhấn Đăng ký.</t>
  </si>
  <si>
    <t>Hệ thống không tạo tài khoản và hiển thị yêu cầu nhập số điện thoại.</t>
  </si>
  <si>
    <t>TCRegister6</t>
  </si>
  <si>
    <t>TC-REGISTER-007</t>
  </si>
  <si>
    <t>Kiểm tra đăng ký khi bỏ trống tên đăng nhập</t>
  </si>
  <si>
    <t>1: Mở trang đăng ký. 
2: Để trống trường Tên đăng nhập. 
3: Nhập hợp lệ các trường còn lại. 
4: Nhấn nút Đăng ký. 
5: Kiểm tra kết quả sau khi nhấn Đăng ký.</t>
  </si>
  <si>
    <t>Hệ thống không tạo tài khoản và hiển thị yêu cầu nhập tên đăng nhập.</t>
  </si>
  <si>
    <t>TCRegister7</t>
  </si>
  <si>
    <t>TC-REGISTER-008</t>
  </si>
  <si>
    <t>Kiểm tra đăng ký khi bỏ trống mật khẩu</t>
  </si>
  <si>
    <t>1: Mở trang đăng ký. 
2: Để trống trường Mật khẩu. 
3: Nhập hợp lệ các trường còn lại. 
4: Nhấn nút Đăng ký. 
5: Kiểm tra kết quả sau khi nhấn Đăng ký.</t>
  </si>
  <si>
    <t>Hệ thống không tạo tài khoản và hiển thị yêu cầu nhập mật khẩu.</t>
  </si>
  <si>
    <t>TCRegister8</t>
  </si>
  <si>
    <t>TC-REGISTER-009</t>
  </si>
  <si>
    <t>Kiểm tra đăng ký khi bỏ trống xác nhận mật khẩu</t>
  </si>
  <si>
    <t>1: Mở trang đăng ký. 
2: Để trống trường Xác nhận mật khẩu. 
3: Nhập hợp lệ các trường còn lại. 
4: Nhấn nút Đăng ký. 
5: Kiểm tra kết quả sau khi nhấn Đăng ký.</t>
  </si>
  <si>
    <t>Hệ thống không tạo tài khoản và hiển thị yêu cầu nhập xác nhận mật khẩu.</t>
  </si>
  <si>
    <t>TCRegister9</t>
  </si>
  <si>
    <t>3. Kiểm tra định dạng dữ liệu</t>
  </si>
  <si>
    <t>TC-REGISTER-010</t>
  </si>
  <si>
    <t>Kiểm tra đăng ký với email sai định dạng</t>
  </si>
  <si>
    <t>1: Mở trang đăng ký. 
2: Nhập email sai định dạng. 
3: Nhập hợp lệ các trường còn lại. 
4: Nhấn nút Đăng ký. 
5: Kiểm tra kết quả sau khi nhấn Đăng ký.</t>
  </si>
  <si>
    <t>Hệ thống không tạo tài khoản và hiển thị thông báo email không hợp lệ.</t>
  </si>
  <si>
    <t>TCRegister10</t>
  </si>
  <si>
    <t>Hệ thống không cho phép đăng ký khi email không đúng định dạng và hiển thị thông báo yêu cầu nhập địa chỉ email hợp lệ.</t>
  </si>
  <si>
    <t>TC-REGISTER-011</t>
  </si>
  <si>
    <t>Kiểm tra đăng ký với số điện thoại sai định dạng</t>
  </si>
  <si>
    <t>1: Mở trang đăng ký. 
2: Nhập số điện thoại 11 chữ số. 
3: Nhập hợp lệ các trường còn lại. 
4: Nhấn nút Đăng ký. 
5: Kiểm tra kết quả sau khi nhấn Đăng ký.</t>
  </si>
  <si>
    <t>Hệ thống không tạo tài khoản và hiển thị thông báo số điện thoại không hợp lệ.</t>
  </si>
  <si>
    <t>TCRegister11_1, TCRegister11_2</t>
  </si>
  <si>
    <t>Hệ thống vẫn cho phép đăng ký với số điện thoại 11 chữ số và chuyển đến trang đăng nhập, không hiển thị thông báo số điện thoại không hợp lệ.</t>
  </si>
  <si>
    <t>TCRegisterRetest11</t>
  </si>
  <si>
    <t>TC-REGISTER-012</t>
  </si>
  <si>
    <t>Kiểm tra đăng ký khi xác nhận mật khẩu không khớp</t>
  </si>
  <si>
    <t>1: Mở trang đăng ký. 
2: Nhập mật khẩu hợp lệ và xác nhận mật khẩu không khớp. 
3: Nhập hợp lệ các trường còn lại. 
4: Nhấn nút Đăng ký. 
5: Kiểm tra kết quả sau khi nhấn Đăng ký.</t>
  </si>
  <si>
    <t>Hệ thống không tạo tài khoản và hiển thị thông báo xác nhận mật khẩu không khớp.</t>
  </si>
  <si>
    <t>TCRegister12</t>
  </si>
  <si>
    <t>Hệ thống không cho phép đăng ký khi xác nhận mật khẩu không khớp với mật khẩu và hiển thị thông báo.</t>
  </si>
  <si>
    <t>TC-REGISTER-013</t>
  </si>
  <si>
    <t>Kiểm tra đăng ký với mật khẩu ngắn hơn 7 ký tự</t>
  </si>
  <si>
    <t>1: Mở trang đăng ký.
2: Nhập mật khẩu ngắn hơn 7 ký tự 
3: Nhập xác nhận mật khẩu trùng khớp.
4: Nhập hợp lệ các trường còn lại.
5: Nhấn nút Đăng ký.
6: Kiểm tra kết quả sau khi nhấn Đăng ký.</t>
  </si>
  <si>
    <t>Hệ thống không tạo tài khoản và hiển thị thông báo mật khẩu không hợp lệ.</t>
  </si>
  <si>
    <t>BOOKING - Appointment Booking</t>
  </si>
  <si>
    <t>TCRegister13_1, TCRegister13_2</t>
  </si>
  <si>
    <t>Appointment Booking</t>
  </si>
  <si>
    <t>Hệ thống vẫn cho phép đăng ký với mật khẩu chỉ có 6 ký tự và chuyển đến trang đăng nhập, không hiển thị thông báo mật khẩu không hợp lệ.</t>
  </si>
  <si>
    <t>TCRegisterRetest13</t>
  </si>
  <si>
    <t>TC-REGISTER-014</t>
  </si>
  <si>
    <t>Kiểm tra đăng ký với mật khẩu không có chữ in hoa</t>
  </si>
  <si>
    <t>1: Mở trang đăng ký.
2: Nhập mật khẩu không có chữ in hoa, có số, có chữ thường và ký tự đặc biệt 
3: Nhập xác nhận mật khẩu trùng khớp.
4: Nhập hợp lệ các trường còn lại.
5: Nhấn nút Đăng ký.
6: Kiểm tra kết quả sau khi nhấn Đăng ký.</t>
  </si>
  <si>
    <t>Hệ thống không tạo tài khoản và hiển thị thông báo mật khẩu phải chứa ít nhất một chữ in hoa.</t>
  </si>
  <si>
    <t xml:space="preserve">TCRegister14_1,TCRegister14_2 </t>
  </si>
  <si>
    <t>Hệ thống vẫn cho phép đăng ký với mật khẩu không có ký tự hoa và chuyển đến trang đăng nhập, không hiển thị thông báo mật khẩu không hợp lệ.</t>
  </si>
  <si>
    <t>TCRegisterRetest14</t>
  </si>
  <si>
    <t>TC-REGISTER-015</t>
  </si>
  <si>
    <t>Kiểm tra đăng ký với mật khẩu không có chữ thường</t>
  </si>
  <si>
    <t>1: Mở trang đăng ký.
2: Nhập mật khẩu không có chữ thường, có số, có chữ hoa và ký tự đặc biệt 
3: Nhập xác nhận mật khẩu trùng khớp.
4: Nhập hợp lệ các trường còn lại.
5: Nhấn nút Đăng ký.
6: Kiểm tra kết quả sau khi nhấn Đăng ký.</t>
  </si>
  <si>
    <t>Hệ thống không tạo tài khoản và hiển thị thông báo mật khẩu phải chứa ít nhất một chữ thường.</t>
  </si>
  <si>
    <t>TCRegister15_1, TCRegister15_2</t>
  </si>
  <si>
    <t>1. Kiểm tra hiển thị thông tin đặt lịch</t>
  </si>
  <si>
    <t>TC-BOOKING-001</t>
  </si>
  <si>
    <t>Hệ thống vẫn cho phép đăng ký với mật khẩu không có chữ thường và chuyển đến trang đăng nhập, không hiển thị thông báo mật khẩu không hợp lệ.</t>
  </si>
  <si>
    <t>Đặt lịch thành công với ngày và giờ hợp lệ</t>
  </si>
  <si>
    <t>TCRegisterRetest15</t>
  </si>
  <si>
    <t>1: Đăng nhập bằng tài khoản Patient hợp lệ.
2: Mở trang Bác sĩ và chọn bác sĩ cần đặt lịch.
3: Mở trang Đặt lịch và kiểm tra đúng thông tin bác sĩ đã chọn.
4: Chọn ngày và giờ hợp lệ, còn trống trong lịch làm việc của bác sĩ.
5: Nhập ghi chú hợp lệ và nhấn Đặt lịch.
6: Kiểm tra thông báo thành công và lịch hẹn vừa được tạo.</t>
  </si>
  <si>
    <t>Hệ thống tạo lịch hẹn thành công, hiển thị thông báo đặt lịch thành công và giờ vừa đặt xuất hiện trong danh sách giờ đã được đặt</t>
  </si>
  <si>
    <t>TCBooking1_1, TCBooking1_2</t>
  </si>
  <si>
    <t>TC-REGISTER-016</t>
  </si>
  <si>
    <t>Kiểm tra đăng ký với mật khẩu không có chữ số</t>
  </si>
  <si>
    <t>1: Mở trang đăng ký.
2: Nhập mật khẩu không có số, có chữ thường, có chữ hoa và ký tự đặc biệt 
3: Nhập xác nhận mật khẩu trùng khớp.
4: Nhập hợp lệ các trường còn lại.
5: Nhấn nút Đăng ký.
6: Kiểm tra kết quả sau khi nhấn Đăng ký.</t>
  </si>
  <si>
    <t>Hệ thống không tạo tài khoản và hiển thị thông báo mật khẩu phải chứa ít nhất một chữ số.</t>
  </si>
  <si>
    <t>TCRegister16_1, TCRegister16_2</t>
  </si>
  <si>
    <t>Chức năng hoạt động đúng, có thông báo đặt lịch thành công</t>
  </si>
  <si>
    <t>2. Kiểm tra dữ liệu để trống</t>
  </si>
  <si>
    <t>Hệ thống vẫn cho phép đăng ký với mật khẩu không có chữ số và chuyển đến trang đăng nhập, không hiển thị thông báo mật khẩu không hợp lệ.</t>
  </si>
  <si>
    <t>TCRegisterRetest16</t>
  </si>
  <si>
    <t>TC-BOOKING-002</t>
  </si>
  <si>
    <t>Kiểm tra không thể đặt lịch khi chưa chọn ngày khám.</t>
  </si>
  <si>
    <t>1: Đăng nhập bằng tài khoản Patient hợp lệ.
2: Mở trang Đặt lịch của bác sĩ cần đặt.
3: Để trống ngày khám.
4: Chọn giờ khám và nhập ghi chú hợp lệ.
5: Nhấn Đặt lịch.
6: Kiểm tra thông báo validation và xác nhận lịch hẹn không được tạo.</t>
  </si>
  <si>
    <t>Hệ thống yêu cầu người dùng chọn ngày khám và không tạo lịch hẹn</t>
  </si>
  <si>
    <t>TCBooking2</t>
  </si>
  <si>
    <t>TC-REGISTER-017</t>
  </si>
  <si>
    <t>Kiểm tra đăng ký với mật khẩu không có ký tự đặc biệt</t>
  </si>
  <si>
    <t>1: Mở trang đăng ký.
2: Nhập mật khẩu không có ký tự đặc biệt, có số, có chữ thường, có chữ hoa  
3: Nhập xác nhận mật khẩu trùng khớp.
4: Nhập hợp lệ các trường còn lại.
5: Nhấn nút Đăng ký.
6: Kiểm tra kết quả sau khi nhấn Đăng ký.</t>
  </si>
  <si>
    <t>Hệ thống không tạo tài khoản và hiển thị thông báo mật khẩu phải chứa ít nhất một ký tự đặc biệt.</t>
  </si>
  <si>
    <t xml:space="preserve">TCRegister17_1,TCRegister17_2 </t>
  </si>
  <si>
    <t>Hệ thống hoạt động đúng, có thông báo yêu cầu nhập ngày khám</t>
  </si>
  <si>
    <t>TC-BOOKING-003</t>
  </si>
  <si>
    <t>Kiểm tra không thể đặt lịch khi chưa chọn giờ khám.</t>
  </si>
  <si>
    <t>1: Đăng nhập bằng tài khoản Patient hợp lệ.
2: Mở trang Đặt lịch của bác sĩ cần đặt.
3: Chọn một ngày bác sĩ có lịch làm việc.
4: Để trống giờ khám và nhập ghi chú hợp lệ.
5: Nhấn Đặt lịch.
6: Kiểm tra thông báo validation và xác nhận lịch hẹn không được tạo.</t>
  </si>
  <si>
    <t>Hệ thống yêu cầu người dùng nhập giờ khám và không tạo lịch hẹn</t>
  </si>
  <si>
    <t>TCBooking3</t>
  </si>
  <si>
    <t>Hệ thống vẫn cho phép đăng ký với mật khẩu không có ký tự đặc biệt và chuyển đến trang đăng nhập, không hiển thị thông báo mật khẩu không hợp lệ.</t>
  </si>
  <si>
    <t>TCRegisterRetest17</t>
  </si>
  <si>
    <t>Hệ thống hoạt động đúng, có thông báo yêu cầu nhập giờ khám</t>
  </si>
  <si>
    <t xml:space="preserve">4. Kiểm tra dữ liệu đã tồn tại     </t>
  </si>
  <si>
    <t>TC-BOOKING-004</t>
  </si>
  <si>
    <t>Kiểm tra đặt lịch khi không nhập ghi chú.</t>
  </si>
  <si>
    <t>1: Đăng nhập bằng tài khoản Patient hợp lệ.
2: Mở trang Đặt lịch của bác sĩ cần đặt.
3: Chọn ngày và giờ hợp lệ, còn trống trong lịch làm việc của bác sĩ.
4: Để trống trường ghi chú.
5: Nhấn Đặt lịch.
6: Kiểm tra kết quả đặt lịch.</t>
  </si>
  <si>
    <t>Hệ thống vẫn tạo lịch hẹn thành công vì ghi chú là thông tin không bắt buộc</t>
  </si>
  <si>
    <t>TCBooking4_1, TCBooking4_2</t>
  </si>
  <si>
    <t>TC-REGISTER-018</t>
  </si>
  <si>
    <t>Kiểm tra đăng ký với tên đăng nhập đã tồn tại</t>
  </si>
  <si>
    <t>1: Mở trang đăng ký.
2: Nhập tên đăng nhập là patient_an đã có trong hệ thống.
3: Nhập hợp lệ các trường còn lại.
4: Nhấn nút Đăng ký.
5: Kiểm tra kết quả sau khi nhấn Đăng ký.</t>
  </si>
  <si>
    <t xml:space="preserve">Hệ thống không tạo tài khoản và hiển thị thông báo tên đăng nhập đã tồn tại.
</t>
  </si>
  <si>
    <t>TCRegister18_1, TCRegister18_2</t>
  </si>
  <si>
    <t xml:space="preserve">Hệ thống hoạt động đúng, vì ghi chú không phải trường bắt buộc </t>
  </si>
  <si>
    <t>3. Kiểm tra ngày và giờ không hợp lệ</t>
  </si>
  <si>
    <t>Hệ thống chưa hiển thị thông báo cụ thể khi người dùng đăng ký bằng tên đăng nhập đã tồn tại.</t>
  </si>
  <si>
    <t>TCRegisterRetest18</t>
  </si>
  <si>
    <t>TC-BOOKING-005</t>
  </si>
  <si>
    <t>Kiểm tra không thể đặt lịch vào ngày bác sĩ không có lịch làm việc.</t>
  </si>
  <si>
    <t>1: Đăng nhập bằng tài khoản Patient hợp lệ.
2: Mở trang Đặt lịch của bác sĩ cần đặt.
3: Chọn một ngày bác sĩ không có lịch làm việc.
4: Kiểm tra trạng thái thời gian đặt lịch của ngày đã chọn.
5: Thực hiện đặt lịch nếu hệ thống cho phép thao tác.
6: Kiểm tra lịch hẹn không được tạo.</t>
  </si>
  <si>
    <t>Hệ thống không cho phép Patient đặt lịch vào ngày bác sĩ không làm việc và không tạo lịch hẹn mới.</t>
  </si>
  <si>
    <t>TCBooking5</t>
  </si>
  <si>
    <t>TC-REGISTER-019</t>
  </si>
  <si>
    <t>Kiểm tra đăng ký với email đã tồn tại</t>
  </si>
  <si>
    <t>1: Mở trang đăng ký.
2: Nhập email là an@gmail.com đã có trong hệ thống.
3: Nhập hợp lệ các trường còn lại.
4: Nhấn nút Đăng ký.
5: Kiểm tra kết quả sau khi nhấn Đăng ký.</t>
  </si>
  <si>
    <t>Hệ thống không tạo tài khoản và hiển thị thông báo email đã tồn tại.</t>
  </si>
  <si>
    <t>TCRegister19_1, TCRegister19_2</t>
  </si>
  <si>
    <t>Hệ thống vẫn cho phép đăng ký tài khoản với email đã tồn tại</t>
  </si>
  <si>
    <t>TCRegisterRetest19</t>
  </si>
  <si>
    <t>Hệ thống hoạt động đúng, có hiện thông báo đặt lịch thất bại.</t>
  </si>
  <si>
    <t>TC-BOOKING-006</t>
  </si>
  <si>
    <t>Kiểm tra không thể đặt lịch vào giờ nằm ngoài ca làm việc của bác sĩ.</t>
  </si>
  <si>
    <t>1: Đăng nhập bằng tài khoản Patient hợp lệ.
2: Mở trang Đặt lịch của bác sĩ cần đặt.
3: Chọn một ngày bác sĩ có lịch làm việc.
4: Chọn hoặc nhập giờ nằm ngoài ca làm việc của bác sĩ.
5: Thực hiện đặt lịch.
6: Kiểm tra thông báo và xác nhận lịch hẹn không được tạo.</t>
  </si>
  <si>
    <t>Hệ thống không tạo lịch hẹn và hiển thị thông báo bác sĩ không làm việc vào thời gian đã chọn</t>
  </si>
  <si>
    <t>TCBooking6</t>
  </si>
  <si>
    <t>TC-BOOKING-007</t>
  </si>
  <si>
    <t>Kiểm tra không thể đặt lịch trùng với giờ đã có lịch hẹn.</t>
  </si>
  <si>
    <t>1: Đăng nhập bằng tài khoản Patient hợp lệ.
2: Mở trang Đặt lịch của bác sĩ cần đặt.
3: Xác định ngày và giờ đã có lịch hẹn của bác sĩ.
4: Chọn lại đúng ngày và giờ đã có lịch hẹn.
5: Nhấn Đặt lịch.
6: Kiểm tra thông báo và xác nhận không phát sinh lịch hẹn trùng.</t>
  </si>
  <si>
    <t>Hệ thống không tạo lịch hẹn mới và hiển thị thông báo giờ đã có người đặt</t>
  </si>
  <si>
    <t>TCBooking7</t>
  </si>
  <si>
    <t>TC-BOOKING-008</t>
  </si>
  <si>
    <t>Kiểm tra không thể đặt lịch cách một lịch hẹn hiện có dưới 30 phút.</t>
  </si>
  <si>
    <t>1: Đăng nhập bằng tài khoản Patient hợp lệ.
2: Xác định một lịch hẹn đã tồn tại của bác sĩ.
3: Mở trang Đặt lịch của cùng bác sĩ.
4: Chọn cùng ngày và một giờ cách lịch hẹn hiện có dưới 30 phút.
5: Nhấn Đặt lịch.
6: Kiểm tra thông báo và xác nhận lịch hẹn mới không được tạo.</t>
  </si>
  <si>
    <t>Hệ thống từ chối thời gian cách lịch hẹn hiện có dưới 30 phút và không tạo lịch hẹn mới.</t>
  </si>
  <si>
    <t>TCBooking8</t>
  </si>
  <si>
    <t>Phát hiện lỗi, cần giới hạn khoảng cách tối thiểu 30 phút giữa các lịch hẹn.</t>
  </si>
  <si>
    <t>TCBookingRetest8</t>
  </si>
  <si>
    <t xml:space="preserve">5. Kiểm tra quyền truy cập chức năng đặt lịch        </t>
  </si>
  <si>
    <t>TC-BOOKING-009</t>
  </si>
  <si>
    <t>Kiểm tra người dùng chưa đăng nhập không được truy cập chức năng Đặt lịch hẹn.</t>
  </si>
  <si>
    <t>1: Đảm bảo người dùng đang ở trạng thái chưa đăng nhập.
2: Mở trang Bác sĩ.
3: Chọn bác sĩ cần đặt lịch.
4: Nhấn nút Đặt lịch hẹn.
5: Kiểm tra trang được điều hướng đến.
6: Xác nhận Guest không thể truy cập form Đặt lịch.</t>
  </si>
  <si>
    <t>Hệ thống không cho phép người dùng chưa đăng nhập truy cập form Đặt lịch và yêu cầu đăng nhập trước khi tiếp tục. Không có lịch hẹn nào được tạo.</t>
  </si>
  <si>
    <t>TCBooking9_1, TCBooking9_2</t>
  </si>
  <si>
    <t>Guest chưa đăng nhập vẫn truy cập được trang đặt lịch. Cần bổ sung kiểm tra xác thực trước khi cho phép truy cập chức năng đặt lịch.</t>
  </si>
  <si>
    <t>APPOINTMENT - Appointment Management</t>
  </si>
  <si>
    <t>Appointment Management and Examination</t>
  </si>
  <si>
    <t>1. Kiểm tra lịch được chuyển đến Admin</t>
  </si>
  <si>
    <t>TC-APPOINTMENT-001</t>
  </si>
  <si>
    <t>Kiểm tra lịch hẹn bệnh nhân vừa đặt được hiển thị đúng trên trang Quản lý lịch hẹn của Admin.</t>
  </si>
  <si>
    <t>1: Đăng nhập bằng tài khoản bệnh nhân và mở trang đặt lịch của bác sĩ có lịch làm việc.
2: Chọn ngày, giờ hợp lệ và nhập ghi chú TC-APPOINTMENT-001.
3: Nhấn Đặt lịch và kiểm tra đặt lịch thành công.
4: Đăng xuất và đăng nhập bằng tài khoản Admin.
5: Mở trang Quản lý lịch hẹn và tìm lịch vừa tạo.
6: Kiểm tra thông tin và trạng thái của lịch.</t>
  </si>
  <si>
    <t>Lịch được tạo thành công và hiển thị cho Admin với đúng bệnh nhân, bác sĩ, ngày giờ, ghi chú; trạng thái Chờ xác nhận và có nút Xác nhận, Hủy.</t>
  </si>
  <si>
    <t xml:space="preserve">TCAppointment1_1, TCAppointment1_2, TCAppointment1_3 </t>
  </si>
  <si>
    <t>Lịch hẹn sau khi bệnh nhân đặt được gửi đến Admin đầy đủ và đúng trạng thái Chờ xác nhận.</t>
  </si>
  <si>
    <t>2. Kiểm tra Admin quản lý lịch</t>
  </si>
  <si>
    <t>TC-APPOINTMENT-002</t>
  </si>
  <si>
    <t>Kiểm tra Admin xác nhận thành công lịch hẹn đang ở trạng thái Chờ xác nhận.</t>
  </si>
  <si>
    <t>1: Đăng nhập Admin và mở trang Quản lý lịch hẹn.
2: Tìm lịch TC-APPOINTMENT-002 đang ở trạng thái Chờ xác nhận.
3: Nhấn Xác nhận và đồng ý trên hộp thoại xác nhận.
4: Kiểm tra thông báo xác nhận thành công.
5: Kiểm tra trạng thái và thông tin lịch sau khi xác nhận.</t>
  </si>
  <si>
    <t>Trạng thái chuyển sang Đã xác nhận; nút Xác nhận, Hủy không còn hiển thị; thông tin lịch không thay đổi.</t>
  </si>
  <si>
    <t>TCAppointment2_1, TCAppointment2_2</t>
  </si>
  <si>
    <t>Admin xác nhận lịch thành công, trạng thái chuyển sang Đã xác nhận và thông tin lịch không thay đổi.</t>
  </si>
  <si>
    <t>TC-APPOINTMENT-003</t>
  </si>
  <si>
    <t>Kiểm tra Admin hủy thành công lịch hẹn đang chờ xác nhận.</t>
  </si>
  <si>
    <t>1: Đăng nhập Admin và mở trang Quản lý lịch hẹn.
2: Tìm lịch TC-APPOINTMENT-003 đang ở trạng thái Chờ xác nhận.
3: Nhấn Hủy và đồng ý trên hộp thoại xác nhận.
4: Kiểm tra thông báo hủy lịch thành công.
5: Kiểm tra trạng thái và thông tin lịch sau khi hủy.</t>
  </si>
  <si>
    <t>Trạng thái chuyển sang Đã hủy; nút Xác nhận, Hủy không còn hiển thị; thông tin lịch không thay đổi.</t>
  </si>
  <si>
    <t>TCAppointment3_1, TCAppointment3_2, TCAppointment3_3</t>
  </si>
  <si>
    <t>Admin hủy lịch thành công, trạng thái chuyển sang Đã hủy và các nút thao tác không còn hiển thị.</t>
  </si>
  <si>
    <t>3. Kiểm tra quyền bác sĩ theo trạng thái lịch</t>
  </si>
  <si>
    <t>TC-APPOINTMENT-004</t>
  </si>
  <si>
    <t>Kiểm tra quyền xem hồ sơ bệnh nhân của bác sĩ khi lịch đang chờ xác nhận.</t>
  </si>
  <si>
    <t>1: Đăng nhập bằng đúng tài khoản bác sĩ của lịch.
2: Mở trang Lịch hẹn bệnh nhân và tìm lịch TC-APPOINTMENT-004.
3: Kiểm tra trạng thái và các nút thao tác của lịch.
4: Nhấn Xem hồ sơ.
5: Kiểm tra hồ sơ/lịch sử khám của bệnh nhân.</t>
  </si>
  <si>
    <t>Lịch ở trạng thái Chờ xác nhận; bác sĩ được xem hồ sơ/lịch sử khám nhưng không có nút Khám bệnh và không thể tạo hồ sơ bệnh án mới.</t>
  </si>
  <si>
    <t>TCAppointment4</t>
  </si>
  <si>
    <t>Bác sĩ không thể xem hồ sơ bệnh nhân khi lịch đang chờ xác nhận, không đúng với yêu cầu nghiệp vụ.</t>
  </si>
  <si>
    <t>TC-APPOINTMENT-005</t>
  </si>
  <si>
    <t>Kiểm tra bác sĩ không thể truy cập trực tiếp trang khám của lịch chưa được Admin xác nhận.</t>
  </si>
  <si>
    <t>1: Đăng nhập bằng đúng tài khoản bác sĩ của lịch TC-APPOINTMENT-005.
2: Truy cập trực tiếp URL trang khám bằng appointmentId của lịch.
3: Kiểm tra phản hồi của hệ thống.
4: Kiểm tra không thể thực hiện và lưu thông tin khám.
5: Kiểm tra trạng thái lịch và dữ liệu hồ sơ.</t>
  </si>
  <si>
    <t>Trang khám bị chặn, chuyển hướng hoặc thông báo lịch chưa được xác nhận; không tạo hồ sơ bệnh án; lịch vẫn ở trạng thái Chờ xác nhận.</t>
  </si>
  <si>
    <t>TCAppointment5_1, TCAppointment5_2</t>
  </si>
  <si>
    <t>Hệ thống chỉ ẩn nút Khám bệnh trên giao diện nhưng chưa chặn truy cập trực tiếp đối với lịch chưa được Admin xác nhận.</t>
  </si>
  <si>
    <t>TCAppointmentRetest5</t>
  </si>
  <si>
    <t>TC-APPOINTMENT-006</t>
  </si>
  <si>
    <t>Kiểm tra đúng bác sĩ được phép khám bệnh khi lịch đã được xác nhận.</t>
  </si>
  <si>
    <t>1: Đăng nhập bằng đúng tài khoản bác sĩ của lịch.
2: Mở trang Lịch hẹn bệnh nhân và tìm lịch TC-APPOINTMENT-006.
3: Kiểm tra lịch ở trạng thái Đã xác nhận và có nút Khám bệnh.
4: Nhấn Khám bệnh.
5: Kiểm tra thông tin bệnh nhân và form khám được hiển thị.</t>
  </si>
  <si>
    <t>Trang khám mở đúng lịch và bệnh nhân; hiển thị form nhập chẩn đoán, hướng điều trị; lịch vẫn Đã xác nhận khi chưa lưu hồ sơ.</t>
  </si>
  <si>
    <t>MEDICAL - Medical Record Management</t>
  </si>
  <si>
    <t>TCAppointment6_1, TCAppointment6_2</t>
  </si>
  <si>
    <t>Medical Record Management</t>
  </si>
  <si>
    <t>Lịch đã xác nhận hiển thị nút Khám bệnh và mở đúng thông tin bệnh nhân cùng form khám.</t>
  </si>
  <si>
    <t>TC-APPOINTMENT-007</t>
  </si>
  <si>
    <t>Kiểm tra bác sĩ khác không thể khám lịch hẹn không thuộc mình.</t>
  </si>
  <si>
    <t>1: Đăng nhập bằng tài khoản bác sĩ khác với bác sĩ của lịch TC-APPOINTMENT-007.
2: Mở trang Lịch hẹn bệnh nhân và kiểm tra lịch không xuất hiện.
3: Truy cập trực tiếp URL trang khám bằng appointmentId của lịch.
4: Kiểm tra phản hồi của hệ thống.
5: Kiểm tra trạng thái lịch và dữ liệu hồ sơ.</t>
  </si>
  <si>
    <t>Lịch không xuất hiện trong danh sách; truy cập trực tiếp bị chặn/chuyển hướng hoặc báo không có quyền; không tạo hồ sơ bệnh án và trạng thái lịch không thay đổi.</t>
  </si>
  <si>
    <t>TCAppointment7_1, TCAppointment7_2</t>
  </si>
  <si>
    <t>Hệ thống chưa kiểm tra lịch hẹn có thuộc bác sĩ đang đăng nhập hay không.</t>
  </si>
  <si>
    <t>TCAppointmentRetest7</t>
  </si>
  <si>
    <t>TC-APPOINTMENT-008</t>
  </si>
  <si>
    <t>Kiểm tra bác sĩ không thể khám bệnh đối với lịch đã bị hủy.</t>
  </si>
  <si>
    <t>1: Đăng nhập bằng đúng tài khoản bác sĩ của lịch.
2: Mở trang Lịch hẹn bệnh nhân và tìm lịch TC-APPOINTMENT-008.
3: Kiểm tra lịch ở trạng thái Đã hủy và không có nút Khám bệnh.
4: Truy cập trực tiếp URL trang khám bằng appointmentId của lịch.
5: Kiểm tra phản hồi và dữ liệu của lịch.</t>
  </si>
  <si>
    <t>Không có nút Khám bệnh; truy cập trực tiếp trang khám bị chặn/chuyển hướng; không tạo hồ sơ bệnh án; trạng thái vẫn Đã hủy.</t>
  </si>
  <si>
    <t>TCAppointment8_1, TCAppointment8_2</t>
  </si>
  <si>
    <t>1. Kiểm tra tạo hồ sơ bệnh án</t>
  </si>
  <si>
    <t>Hệ thống chưa chặn truy cập trực tiếp trang khám đối với lịch đã bị hủy</t>
  </si>
  <si>
    <t>TCAppointmentRetest8</t>
  </si>
  <si>
    <t>TC-MEDICAL-001</t>
  </si>
  <si>
    <t>Kiểm tra bác sĩ có thể tạo hồ sơ bệnh án thành công cho lịch hẹn đã được xác nhận.</t>
  </si>
  <si>
    <t>1: Chuẩn bị một lịch hẹn Đã xác nhận và chưa có hồ sơ bệnh án. 
2: Đăng nhập bằng bác sĩ phụ trách lịch hẹn. 
3: Mở trang Lịch hẹn bệnh nhân và tìm đúng lịch đã chuẩn bị. 
4: Kiểm tra lịch ở trạng thái Đã xác nhận và có nút Khám bệnh. 
5: Nhấn Khám bệnh. 
6: Kiểm tra trang Khám bệnh được mở đúng cho lịch hẹn. 
7: Nhập Chẩn đoán và Hướng điều trị hợp lệ. 
8: Nhấn Lưu hồ sơ bệnh án. 
9: Kiểm tra hồ sơ được tạo đúng và lịch chuyển sang Đã hoàn thành.</t>
  </si>
  <si>
    <t>Hệ thống tạo hồ sơ bệnh án thành công.
Hồ sơ được gắn đúng với lịch hẹn, bệnh nhân và bác sĩ.
Chẩn đoán và hướng điều trị được lưu chính xác.
Trạng thái lịch chuyển từ Đã xác nhận sang Đã hoàn thành.
Nút Khám bệnh được thay bằng nút Xem hồ sơ.</t>
  </si>
  <si>
    <t>TCMedical1_1, TCMedical1_2, TCMedical1_3</t>
  </si>
  <si>
    <t xml:space="preserve">4. Kiểm tra bác sĩ hoàn thành khám        </t>
  </si>
  <si>
    <t>TC-APPOINTMENT-009</t>
  </si>
  <si>
    <t>Kiểm tra bác sĩ lưu hồ sơ bệnh án và hoàn thành lịch hẹn đã xác nhận.</t>
  </si>
  <si>
    <t>1: Đăng nhập bằng đúng tài khoản bác sĩ và mở lịch TC-APPOINTMENT-009 đã được xác nhận.
2: Nhấn Khám bệnh.
3: Nhập chẩn đoán và hướng điều trị hợp lệ.
4: Nhấn Lưu hồ sơ và kiểm tra lưu thành công.
5: Quay lại danh sách lịch hẹn và kiểm tra trạng thái.
6: Mở lại hồ sơ và kiểm tra thông tin vừa lưu.</t>
  </si>
  <si>
    <t>Bác sĩ tạo hồ sơ bệnh án thành công, dữ liệu được lưu đúng và lịch hẹn chuyển sang trạng thái Đã hoàn thành.</t>
  </si>
  <si>
    <t>Hồ sơ bệnh án được lưu đúng bệnh nhân, bác sĩ và lịch hẹn; trạng thái chuyển sang Đã hoàn thành; không còn nút Khám bệnh và có thể xem lại hồ sơ.</t>
  </si>
  <si>
    <t>TCAppointment9_1, TCAppointment9_2, TCAppointment9_3</t>
  </si>
  <si>
    <t>TC-MEDICAL-002</t>
  </si>
  <si>
    <t>Kiểm tra hệ thống không cho phép bác sĩ tạo hồ sơ bệnh án khi bỏ trống Chẩn đoán.</t>
  </si>
  <si>
    <t>1: Chuẩn bị lịch hẹn Đã xác nhận và chưa có hồ sơ bệnh án. 
2: Đăng nhập bằng bác sĩ phụ trách. 
3: Mở trang Khám bệnh của lịch đã chuẩn bị. 
4: Để trống Chẩn đoán và nhập Hướng điều trị hợp lệ. 
5: Nhấn Lưu hồ sơ bệnh án. 
6: Kiểm tra thông báo validation. 
7: Kiểm tra hồ sơ không được tạo và lịch vẫn Đã xác nhận.</t>
  </si>
  <si>
    <t>Hệ thống hiển thị thông báo yêu cầu nhập đầy đủ chẩn đoán.
Không tạo hồ sơ bệnh án mới.
Trạng thái lịch vẫn là Đã xác nhận.
Dữ liệu hướng điều trị chưa được lưu.</t>
  </si>
  <si>
    <t>TCMedical2_1, TCMedical2_2, TCMedical2_3</t>
  </si>
  <si>
    <t>Hồ sơ bệnh án được lưu thành công, lịch chuyển sang Đã hoàn thành và hiển thị nút Xem hồ sơ.</t>
  </si>
  <si>
    <t>Hệ thống hiển thị cảnh báo khi bỏ trống chẩn đoán, không tạo hồ sơ bệnh án và giữ nguyên trạng thái</t>
  </si>
  <si>
    <t>TC-MEDICAL-003</t>
  </si>
  <si>
    <t>Kiểm tra hệ thống không cho phép bác sĩ tạo hồ sơ bệnh án khi bỏ trống Hướng điều trị.</t>
  </si>
  <si>
    <t>1: Chuẩn bị lịch hẹn Đã xác nhận và chưa có hồ sơ bệnh án. 
2: Đăng nhập bằng bác sĩ phụ trách. 
3: Mở trang Khám bệnh của lịch đã chuẩn bị. 
4: Nhập Chẩn đoán hợp lệ và để trống Hướng điều trị. 
5: Nhấn Lưu hồ sơ bệnh án. 
6: Kiểm tra thông báo validation. 
7: Kiểm tra hồ sơ không được tạo và lịch vẫn Đã xác nhận.</t>
  </si>
  <si>
    <t>Hệ thống hiển thị thông báo yêu cầu nhập đầy đủ hướng điều trị.
Không tạo hồ sơ bệnh án mới.
Trạng thái lịch vẫn là Đã xác nhận.
Dữ liệu chẩn đoán chưa được lưu.</t>
  </si>
  <si>
    <t>TCMedical3_1, TCMedical3_2, TCMedical3_3</t>
  </si>
  <si>
    <t>Hệ thống hiển thị cảnh báo khi bỏ trống hướng điều trị, không tạo hồ sơ bệnh án và giữ nguyên trạng thái Đã xác nhận.</t>
  </si>
  <si>
    <t>TC-MEDICAL-004</t>
  </si>
  <si>
    <t>Kiểm tra hệ thống không cho phép bác sĩ tạo thêm hồ sơ bệnh án cho lịch hẹn đã hoàn thành và đã có hồ sơ bệnh án.</t>
  </si>
  <si>
    <t>1: Chuẩn bị lịch hẹn Đã hoàn thành và đã có hồ sơ bệnh án. 
2: Đăng nhập bằng bác sĩ phụ trách. 
3: Mở trang Lịch hẹn bệnh nhân và tìm đúng lịch đã chuẩn bị. 
4: Kiểm tra lịch ở trạng thái Đã hoàn thành, có nút Xem hồ sơ và không còn nút Khám bệnh. 
5: Nhấn Xem hồ sơ và kiểm tra hồ sơ hiện có được hiển thị đúng. 
6: Truy cập trực tiếp trang Khám bệnh bằng appointmentId của lịch đã hoàn thành. 
7: Kiểm tra hệ thống chặn thao tác khám bệnh và không hiển thị form tạo hồ sơ mới. 
8: Mở lại hồ sơ và kiểm tra dữ liệu cũ không thay đổi.</t>
  </si>
  <si>
    <t>Bác sĩ xem được hồ sơ bệnh án hiện có. Khi truy cập trực tiếp trang Khám bệnh của lịch đã hoàn thành, hệ thống chặn truy cập và không hiển thị form tạo hồ sơ mới. Hồ sơ cũ không bị thay đổi và lịch vẫn ở trạng thái Đã hoàn thành.</t>
  </si>
  <si>
    <t>TCMedical4_1, TCMedical4_2</t>
  </si>
  <si>
    <t>Hệ thống cho phép xem hồ sơ hiện có nhưng chặn mở lại trang Khám bệnh để tạo hồ sơ bệnh án thứ hai.</t>
  </si>
  <si>
    <t>2. Kiểm tra xem hồ sơ bệnh án</t>
  </si>
  <si>
    <t>TC-MEDICAL-005</t>
  </si>
  <si>
    <t>Kiểm tra bác sĩ có thể xem đúng hồ sơ bệnh án của lịch hẹn đã hoàn thành.</t>
  </si>
  <si>
    <t>1: Chuẩn bị lịch Đã hoàn thành và đã có hồ sơ bệnh án. 
2: Đăng nhập bằng bác sĩ phụ trách. 
3: Mở trang Lịch hẹn bệnh nhân và tìm đúng lịch. 
4: Kiểm tra lịch có nút Xem hồ sơ. 
5: Nhấn Xem hồ sơ. 
6: Kiểm tra appointmentId, bệnh nhân và bác sĩ phụ trách. 
7: Kiểm tra Chẩn đoán và Hướng điều trị khớp dữ liệu đã lưu. 
8: Kiểm tra thao tác xem hồ sơ không làm thay đổi dữ liệu hoặc trạng thái lịch.</t>
  </si>
  <si>
    <t>Hệ thống mở đúng hồ sơ bệnh án của lịch hẹn.
Hiển thị đúng bệnh nhân và bác sĩ phụ trách.
Hiển thị đúng chẩn đoán và hướng điều trị đã lưu.
Hồ sơ được gắn đúng với appointmentId.
Không làm thay đổi trạng thái hoặc dữ liệu hồ sơ.</t>
  </si>
  <si>
    <t>TCMedical5_1, TCMedical5_2</t>
  </si>
  <si>
    <t>Hệ thống mở đúng hồ sơ bệnh án của lịch đã hoàn thành và hiển thị đầy đủ, chính xác thông tin đã lưu.</t>
  </si>
  <si>
    <t>3. Kiểm tra cập nhật hồ sơ bệnh án</t>
  </si>
  <si>
    <t>TC-MEDICAL-006</t>
  </si>
  <si>
    <t>Kiểm tra bác sĩ có thể cập nhật thành công hồ sơ bệnh án thuộc lịch hẹn của mình.</t>
  </si>
  <si>
    <t>1: Chuẩn bị lịch Đã hoàn thành, đã có hồ sơ và ghi nhận dữ liệu hiện tại. 
2: Đăng nhập bằng bác sĩ phụ trách và mở hồ sơ. 
3: Nhấn Cập nhật hồ sơ. 
4: Kiểm tra form cập nhật hiển thị đúng dữ liệu hiện tại. 
5: Thay đổi Chẩn đoán và Hướng điều trị. 
6: Nhấn Lưu cập nhật. 
7: Kiểm tra thông báo cập nhật thành công. 
8: Mở lại hồ sơ và kiểm tra dữ liệu mới. 
9: Kiểm tra hồ sơ vẫn thuộc cùng lịch hẹn, bệnh nhân và bác sĩ. 
10: Kiểm tra hệ thống cập nhật hồ sơ hiện tại, không tạo thêm hồ sơ mới và lịch vẫn Đã hoàn thành.</t>
  </si>
  <si>
    <t>Hệ thống cập nhật hồ sơ bệnh án thành công.
Nội dung mới được hiển thị chính xác.
Hệ thống cập nhật hồ sơ hiện tại, không tạo thêm hồ sơ mới.
Hồ sơ vẫn gắn đúng với bệnh nhân, bác sĩ và lịch hẹn.
Trạng thái lịch vẫn là Đã hoàn thành.</t>
  </si>
  <si>
    <t>TCMedical6_1, TCMedical6_2, TCMedical6_3</t>
  </si>
  <si>
    <t>Hệ thống cho phép bác sĩ cập nhật hồ sơ bệnh án thành công. Sau khi lưu, thông báo thành công hiển thị và nội dung hồ sơ được cập nhật đúng theo dữ liệu mới.</t>
  </si>
  <si>
    <t>TC-MEDICAL-007</t>
  </si>
  <si>
    <t>Kiểm tra bác sĩ khác không thể xem hồ sơ bệnh án không thuộc lịch hẹn của mình.</t>
  </si>
  <si>
    <t>1: Chuẩn bị hồ sơ bệnh án thuộc Doctor A và ghi nhận dữ liệu hiện tại. 
2: Đăng nhập bằng Doctor B. 
3: Mở trang Lịch hẹn bệnh nhân. 
4: Kiểm tra lịch của Doctor A không xuất hiện trong danh sách của Doctor B. 
5: Truy cập trực tiếp URL xem hồ sơ của Doctor A. 
6: Kiểm tra hệ thống chặn truy cập và không hiển thị dữ liệu hồ sơ. 
7: Đăng xuất Doctor B và đăng nhập lại Doctor A. 
8: Mở lại hồ sơ và kiểm tra dữ liệu không thay đổi.</t>
  </si>
  <si>
    <t>Hồ sơ của Doctor A không xuất hiện trong danh sách của Doctor B.
Khi Doctor B truy cập trực tiếp URL, hệ thống chặn truy cập hoặc hiển thị thông báo không có quyền.
Thông tin bệnh nhân và nội dung hồ sơ không được hiển thị.
Dữ liệu hồ sơ không thay đổi.</t>
  </si>
  <si>
    <t>TCMedical7</t>
  </si>
  <si>
    <t>Hệ thống chưa kiểm tra quyền xem hồ sơ, nên bác sĩ Tran Binh vẫn xem được chi tiết hồ sơ thuộc bác sĩ Ly Minh.</t>
  </si>
  <si>
    <t>TCMedicalRetest7</t>
  </si>
  <si>
    <t>TC-MEDICAL-008</t>
  </si>
  <si>
    <t>Kiểm tra bác sĩ khác không thể cập nhật hồ sơ bệnh án không thuộc lịch hẹn của mình.</t>
  </si>
  <si>
    <t>1: Chuẩn bị hồ sơ bệnh án thuộc Doctor A và ghi nhận dữ liệu hiện tại. 
2: Đăng nhập bằng Doctor B. 
3: Truy cập trực tiếp URL hồ sơ của Doctor A. 
4: Kiểm tra hệ thống chặn truy cập và Doctor B không thể sử dụng chức năng Cập nhật hồ sơ. 
5: Đăng xuất Doctor B và đăng nhập lại Doctor A. 
6: Mở lại hồ sơ đã chuẩn bị. 
7: Kiểm tra Chẩn đoán và Hướng điều trị không thay đổi. 
8: Kiểm tra hồ sơ vẫn thuộc Doctor A và lịch vẫn Đã hoàn thành.</t>
  </si>
  <si>
    <t>Hệ thống không cho phép Doctor B cập nhật hồ sơ thuộc Doctor A.
Doctor B bị chặn truy cập hoặc không có quyền sử dụng chức năng Cập nhật hồ sơ.
Chẩn đoán và hướng điều trị cũ không bị thay đổi.
Hồ sơ vẫn thuộc đúng Doctor A.</t>
  </si>
  <si>
    <t>TCMedical8_1, TCMedical8_2, TCMedical8_3</t>
  </si>
  <si>
    <t>Hệ thống chưa kiểm tra quyền sở hữu hồ sơ khi cập nhật. Bác sĩ Tran Binh vẫn mở được chức năng Cập nhật hồ sơ thuộc bác sĩ Ly Minh, thay đổi dữ liệu và lưu thành công.</t>
  </si>
  <si>
    <t>TCMedicalRetest8</t>
  </si>
  <si>
    <t>TC-MEDICAL-009</t>
  </si>
  <si>
    <t>Kiểm tra thao tác Hủy cập nhật không làm thay đổi dữ liệu hồ sơ bệnh án đã lưu.</t>
  </si>
  <si>
    <t>1: Chuẩn bị hồ sơ bệnh án và ghi nhận dữ liệu hiện tại. 
2: Đăng nhập bằng bác sĩ phụ trách và mở hồ sơ. 
3: Nhấn Cập nhật hồ sơ. 
4: Kiểm tra form cập nhật hiển thị đúng dữ liệu hiện tại. 
5: Thay đổi Chẩn đoán và Hướng điều trị bằng dữ liệu mới. 
6: Nhấn Hủy. 
7: Kiểm tra form cập nhật được đóng và dữ liệu mới không được lưu. 
8: Mở lại hồ sơ và kiểm tra dữ liệu ban đầu vẫn được giữ nguyên. 
9: Kiểm tra hồ sơ vẫn thuộc đúng lịch hẹn, bệnh nhân, bác sĩ và lịch vẫn Đã hoàn thành.</t>
  </si>
  <si>
    <t>Hệ thống hủy thao tác cập nhật và đóng form chỉnh sửa.
Dữ liệu mới nhập không được lưu.
Chẩn đoán và hướng điều trị cũ vẫn được giữ nguyên.
Hồ sơ vẫn thuộc đúng bệnh nhân, bác sĩ và lịch hẹn.
Trạng thái lịch vẫn là Đã hoàn thành.</t>
  </si>
  <si>
    <t>TCMedical9_1, TCMedical9_2, TCMedical9_3</t>
  </si>
  <si>
    <t>Hệ thống hủy thao tác cập nhật thành công, không lưu dữ liệu tạm và giữ nguyên nội dung hồ sơ bệnh án ban đầu.</t>
  </si>
  <si>
    <t>SCHEDULE - Doctor Schedule Management</t>
  </si>
  <si>
    <t>Doctor Schedule Management</t>
  </si>
  <si>
    <t>1. Kiểm tra hiển thị form Thêm lịch làm việc</t>
  </si>
  <si>
    <t>TC-DS-ADMIN-001</t>
  </si>
  <si>
    <t>Kiểm tra form Thêm lịch làm việc hiển thị đầy đủ thông tin cần thiết.</t>
  </si>
  <si>
    <t>1: Đăng nhập với vai trò Admin.
2: Mở trang Quản lý lịch làm việc bác sĩ.
3: Quan sát form Thêm lịch làm việc.
4: Mở danh sách Bác sĩ.
5: Mở danh sách Ca làm việc.
6: Mở danh sách Trạng thái.
7: Kiểm tra các trường, lựa chọn và giá trị mặc định trên form.</t>
  </si>
  <si>
    <t>Form hiển thị đầy đủ các trường Bác sĩ, Ngày làm việc, Ca làm việc, Trạng thái, Ghi chú và nút Thêm lịch; Bác sĩ mặc định chưa chọn; Ngày làm việc để trống; Ca mặc định là Ca sáng; Trạng thái mặc định là Có lịch làm việc; Ghi chú để trống.</t>
  </si>
  <si>
    <t>TCDsAdmin1_1, TCDsAdmin1_2, TCDsAdmin1_3</t>
  </si>
  <si>
    <t>Giao diện hệ thống hiển thị đúng.</t>
  </si>
  <si>
    <t>2. Kiểm tra thêm lịch với dữ liệu hợp lệ</t>
  </si>
  <si>
    <t>TC-DS-ADMIN-002</t>
  </si>
  <si>
    <t>Kiểm tra Admin thêm lịch làm việc cho bác sĩ với dữ liệu hợp lệ.</t>
  </si>
  <si>
    <t>1: Đăng nhập với vai trò Admin.
2: Mở trang Quản lý lịch làm việc bác sĩ.
3: Chọn một bác sĩ.
4: Chọn một ngày làm việc chưa có lịch tại ca cần tạo.
5: Chọn Ca sáng.
6: Chọn trạng thái Có lịch làm việc.
7: Nhập ghi chú cho lịch.
8: Nhấn Thêm lịch.
9: Kiểm tra thông báo và lịch vừa tạo trong Danh sách lịch làm việc.</t>
  </si>
  <si>
    <t>Hệ thống thêm lịch thành công và lịch mới hiển thị đúng bác sĩ, ngày, ca, trạng thái và ghi chú đã nhập.</t>
  </si>
  <si>
    <t>TCDsAdmin2</t>
  </si>
  <si>
    <t>Hệ thống báo lỗi "Có lỗi xảy ra. Kiểm tra lại đăng nhập hoặc dữ liệu nhập."</t>
  </si>
  <si>
    <t>TCDsAdminRetest2_1, TCDsAdminRetest2_2</t>
  </si>
  <si>
    <t>TC-DS-ADMIN-003</t>
  </si>
  <si>
    <t>Kiểm tra Admin thêm lịch cho bác sĩ với trạng thái Không làm việc.</t>
  </si>
  <si>
    <t>1: Đăng nhập với vai trò Admin.
2: Mở trang Quản lý lịch làm việc bác sĩ.
3: Chọn một bác sĩ.
4: Chọn ngày và ca chưa có lịch.
5: Chọn trạng thái Không làm việc.
6: Nhập ghi chú phù hợp.
7: Nhấn Thêm lịch.
8: Kiểm tra thông báo và lịch vừa tạo trong Danh sách lịch làm việc.</t>
  </si>
  <si>
    <t>Hệ thống thêm lịch thành công với trạng thái Không làm việc và lưu đúng thông tin đã nhập.</t>
  </si>
  <si>
    <t>TCDsAdmin3</t>
  </si>
  <si>
    <t>TCDsAdminRetest3_1, TCDsAdminRetest3_2</t>
  </si>
  <si>
    <t>TC-DS-ADMIN-004</t>
  </si>
  <si>
    <t>Kiểm tra Admin có thể thêm lịch khi để trống Ghi chú.</t>
  </si>
  <si>
    <t>1: Đăng nhập với vai trò Admin.
2: Mở trang Quản lý lịch làm việc bác sĩ.
3: Chọn bác sĩ, ngày làm việc và ca chưa có lịch.
4: Chọn trạng thái Có lịch làm việc.
5: Để trống trường Ghi chú.
6: Nhấn Thêm lịch.
7: Kiểm tra lịch vừa tạo trong Danh sách lịch làm việc.</t>
  </si>
  <si>
    <t>Hệ thống vẫn thêm lịch thành công và trường Ghi chú của lịch để trống.</t>
  </si>
  <si>
    <t>TCDsAdmin4</t>
  </si>
  <si>
    <t>TCDsAdminRetest4_1, TCDsAdminRetest4_2</t>
  </si>
  <si>
    <t>PATIENT - My Appointments</t>
  </si>
  <si>
    <t>3. Kiểm tra các trường bắt buộc</t>
  </si>
  <si>
    <t>Patient Appointment Tracking</t>
  </si>
  <si>
    <t>TC-DS-ADMIN-005</t>
  </si>
  <si>
    <t>Kiểm tra hệ thống xử lý khi Admin không chọn bác sĩ.</t>
  </si>
  <si>
    <t>1: Đăng nhập với vai trò Admin.
2: Mở trang Quản lý lịch làm việc bác sĩ.
3: Giữ trường Bác sĩ ở giá trị -- Chọn bác sĩ --.
4: Chọn ngày làm việc hợp lệ.
5: Giữ nguyên ca và trạng thái mặc định.
6: Nhấn Thêm lịch.
7: Kiểm tra phản hồi tại trường Bác sĩ và Danh sách lịch làm việc.</t>
  </si>
  <si>
    <t>Hệ thống yêu cầu chọn bác sĩ và không tạo lịch mới.</t>
  </si>
  <si>
    <t>TCDsAdmin5</t>
  </si>
  <si>
    <t>Có thông báo chặn thao tác do trường Bác sĩ là bắt buộc.</t>
  </si>
  <si>
    <t>TC-DS-ADMIN-006</t>
  </si>
  <si>
    <t>Kiểm tra hệ thống xử lý khi Admin không chọn ngày làm việc.</t>
  </si>
  <si>
    <t>1: Đăng nhập với vai trò Admin.
2: Mở trang Quản lý lịch làm việc bác sĩ.
3: Chọn một bác sĩ.
4: Để trống trường Ngày làm việc.
5: Giữ nguyên ca và trạng thái mặc định.
6: Nhấn Thêm lịch.
7: Kiểm tra phản hồi tại trường Ngày làm việc và Danh sách lịch làm việc.</t>
  </si>
  <si>
    <t>Hệ thống yêu cầu chọn ngày làm việc và không tạo lịch mới.</t>
  </si>
  <si>
    <t>TCDsAdmin6</t>
  </si>
  <si>
    <t>Có thông báo chặn thao tác do trường Ngày làm việc là bắt buộc.</t>
  </si>
  <si>
    <t>4. Kiểm tra ngày làm việc</t>
  </si>
  <si>
    <t>TC-DS-ADMIN-007</t>
  </si>
  <si>
    <t>Kiểm tra hệ thống không cho phép Admin tạo lịch làm việc cho ngày đã qua.</t>
  </si>
  <si>
    <t>1: Đăng nhập với vai trò Admin.
2: Mở trang Quản lý lịch làm việc bác sĩ.
3: Chọn một bác sĩ.
4: Chọn một ngày trước ngày hiện tại.
5: Chọn ca và trạng thái hợp lệ.
6: Nhấn Thêm lịch.
7: Kiểm tra thông báo và Danh sách lịch làm việc.</t>
  </si>
  <si>
    <t>Hệ thống không tạo lịch cho ngày đã qua và hiển thị thông báo ngày làm việc không hợp lệ.</t>
  </si>
  <si>
    <t>TCDsAdmin7_1, TCDsAdmin7_2</t>
  </si>
  <si>
    <t>Hệ thống vẫn cho phép thêm lịch ngày 01/08/2026 và hiển thị thông báo ‘Thêm lịch làm việc thành công!’. Không có validation ngăn ngày làm việc đã qua</t>
  </si>
  <si>
    <t>1. Kiểm tra truy cập trang Lịch hẹn của tôi</t>
  </si>
  <si>
    <t>5. Kiểm tra trùng và xung đột lịch làm việc</t>
  </si>
  <si>
    <t>TC-MYAPPOINTMENT-001</t>
  </si>
  <si>
    <t>Kiểm tra lịch hẹn sau khi bệnh nhân đặt thành công được hiển thị trong trang Lịch hẹn của tôi với trạng thái ban đầu là Chờ xác nhận.</t>
  </si>
  <si>
    <t>1: Đăng nhập bằng tài khoản Patient.
2: Thực hiện đặt một lịch khám hợp lệ với Doctor và nhập ghi chú.
3: Xác nhận hệ thống đặt lịch thành công.
4: Ghi nhận Doctor, ngày giờ khám và ghi chú của lịch vừa tạo.
5: Mở trang Lịch hẹn của tôi.
6: Tìm lịch hẹn vừa tạo trong danh sách.
7: Kiểm tra Doctor, ngày giờ khám và ghi chú hiển thị đúng.
8: Kiểm tra trạng thái lịch hẹn là “Chờ xác nhận”.</t>
  </si>
  <si>
    <t>TC-DS-ADMIN-008</t>
  </si>
  <si>
    <t>Lịch hẹn vừa tạo xuất hiện trong danh sách.
Tên bác sĩ, thời gian khám và ghi chú hiển thị đúng.
Trạng thái của lịch hẹn là “Chờ xác nhận”.</t>
  </si>
  <si>
    <t>Kiểm tra hệ thống không cho phép tạo lịch trùng cho cùng bác sĩ, ngày và ca.</t>
  </si>
  <si>
    <t>1: Đăng nhập với vai trò Admin.
2: Mở trang Quản lý lịch làm việc bác sĩ.
3: Chọn một bác sĩ.
4: Chọn ngày và ca chưa có lịch.
5: Chọn trạng thái và nhập ghi chú.
6: Nhấn Thêm lịch.
7: Nhập lại cùng bác sĩ, cùng ngày và cùng ca.
8: Nhấn Thêm lịch lần nữa.
9: Kiểm tra thông báo và các bản ghi trong Danh sách lịch làm việc.</t>
  </si>
  <si>
    <t>Hệ thống không tạo thêm lịch trùng và chỉ tồn tại một lịch cho cùng bác sĩ, ngày và ca.</t>
  </si>
  <si>
    <t>TCMyAppointment1_1, TCMyAppointment1_2, TCMyAppointment1_3</t>
  </si>
  <si>
    <t>TCDsAdmin8_1, TCDsAdmin8_2</t>
  </si>
  <si>
    <t>Lịch hẹn mới được tạo thành công và hiển thị đúng trạng thái ban đầu “Chờ xác nhận”.</t>
  </si>
  <si>
    <t>2. Admin xử lý lịch hẹn</t>
  </si>
  <si>
    <t>Hệ thống vẫn tạo bản ghi thứ hai khi bác sĩ, ngày, ca, thời gian, trạng thái và ghi chú trùng hoàn toàn. Danh sách xuất hiện hai lịch ID 182 và 183.</t>
  </si>
  <si>
    <t>TCDsAdminRetest8_1, TCDsAdminRetest8_2</t>
  </si>
  <si>
    <t>TC-MYAPPOINTMENT-002</t>
  </si>
  <si>
    <t>Kiểm tra trạng thái lịch hẹn của Patient được cập nhật sau khi Admin xác nhận lịch.</t>
  </si>
  <si>
    <t>1: Patient thực hiện đặt một lịch khám hợp lệ và ghi nhận thông tin lịch vừa tạo.
2: Đăng nhập bằng tài khoản Admin và mở trang Quản lý lịch hẹn.
3: Tìm đúng lịch hẹn vừa được Patient tạo đang ở trạng thái “Chờ xác nhận”.
4: Admin thực hiện Xác nhận lịch hẹn.
5: Kiểm tra lịch hẹn được cập nhật thành “Đã xác nhận” trên trang Admin.
6: Đăng nhập lại bằng Patient sở hữu lịch hẹn.
7: Mở trang Lịch hẹn của tôi và tìm lịch vừa được Admin xử lý.
8: Kiểm tra thông tin lịch hẹn không thay đổi và trạng thái là “Đã xác nhận”.</t>
  </si>
  <si>
    <t>Lịch hẹn vẫn hiển thị đúng bác sĩ, thời gian và ghi chú ban đầu.
Trạng thái được cập nhật từ “Chờ xác nhận” thành “Đã xác nhận”.</t>
  </si>
  <si>
    <t>TCMyAppointment2_1, TCMyAppointment2_2, TCMyAppointment2_3</t>
  </si>
  <si>
    <t>TC-DS-ADMIN-009</t>
  </si>
  <si>
    <t>Kiểm tra một bác sĩ có thể được xếp nhiều ca khác nhau trong cùng ngày.</t>
  </si>
  <si>
    <t>1: Đăng nhập với vai trò Admin.
2: Mở trang Quản lý lịch làm việc bác sĩ.
3: Xác định một bác sĩ đã có lịch ở một ca trong ngày.
4: Chọn cùng bác sĩ và cùng ngày.
5: Chọn một ca khác với ca đã có.
6: Nhấn Thêm lịch.
7: Kiểm tra các lịch của bác sĩ trong Danh sách lịch làm việc và bảng lịch theo tuần.</t>
  </si>
  <si>
    <t>Ca mới được thêm thành công và lịch ở ca trước vẫn được giữ nguyên.</t>
  </si>
  <si>
    <t>Trạng thái lịch hẹn được đồng bộ chính xác giữa trang quản lý của Admin và trang “Lịch hẹn của tôi” của Patient.</t>
  </si>
  <si>
    <t>TCDsAdmin9_1, TCDsAdmin9_2</t>
  </si>
  <si>
    <t>TC-MYAPPOINTMENT-003</t>
  </si>
  <si>
    <t>Kiểm tra trạng thái lịch hẹn của Patient sau khi Admin thực hiện hủy lịch.</t>
  </si>
  <si>
    <t>1: Patient thực hiện đặt một lịch khám hợp lệ và ghi nhận thông tin lịch vừa tạo.
2: Đăng nhập bằng tài khoản Admin và mở trang Quản lý lịch hẹn.
3: Tìm đúng lịch hẹn vừa tạo đang ở trạng thái “Chờ xác nhận”.
4: Admin thực hiện Hủy lịch hẹn.
5: Kiểm tra lịch hẹn được cập nhật thành “Đã hủy” trên trang Admin.
6: Đăng nhập lại bằng Patient sở hữu lịch hẹn.
7: Mở trang Lịch hẹn của tôi và tìm lịch vừa bị hủy.
8: Kiểm tra lịch vẫn tồn tại, thông tin không thay đổi và trạng thái là “Đã hủy”.</t>
  </si>
  <si>
    <t>Lịch hẹn vẫn tồn tại trong lịch sử danh sách.
Trạng thái của lịch hẹn được cập nhật thành “Đã hủy”.
Thông tin bác sĩ và thời gian của lịch hẹn không bị thay đổi ngoài trạng thái.</t>
  </si>
  <si>
    <t>TCMyAppointment3_1, TCMyAppointment3_2, TCMyAppointment3_3</t>
  </si>
  <si>
    <t>Hệ thống thực hiện đúng, và có thông báo thêm lịch thành công.</t>
  </si>
  <si>
    <t>Trạng thái lịch hẹn được cập nhật đúng từ “Chờ xác nhận” sang “Đã hủy” sau khi Admin thực hiện hủy.</t>
  </si>
  <si>
    <t>TC-DS-ADMIN-010</t>
  </si>
  <si>
    <t>3. Bác sĩ thực hiện khám</t>
  </si>
  <si>
    <t>Kiểm tra nhiều bác sĩ có thể được xếp cùng ngày và cùng ca.</t>
  </si>
  <si>
    <t>1: Đăng nhập với vai trò Admin.
2: Mở trang Quản lý lịch làm việc bác sĩ.
3: Chọn bác sĩ thứ nhất.
4: Chọn ngày, ca và trạng thái hợp lệ rồi nhấn Thêm lịch.
5: Chọn bác sĩ thứ hai.
6: Chọn cùng ngày và cùng ca với bác sĩ thứ nhất.
7: Chọn trạng thái và nhấn Thêm lịch.
8: Kiểm tra các lịch trong Danh sách lịch làm việc và bảng lịch theo tuần.</t>
  </si>
  <si>
    <t>Hệ thống thêm lịch thành công cho bác sĩ thứ hai và cả hai bác sĩ đều có lịch độc lập trong cùng ngày, cùng ca.</t>
  </si>
  <si>
    <t>TCDsAdmin10_1, TCDsAdmin10_2</t>
  </si>
  <si>
    <t>TC-MYAPPOINTMENT-004</t>
  </si>
  <si>
    <t>Kiểm tra lịch hẹn được cập nhật đúng xuyên suốt từ khi Patient đặt lịch, Admin xác nhận đến khi Doctor hoàn thành khám.</t>
  </si>
  <si>
    <t>1: Patient thực hiện đặt một lịch khám hợp lệ với Doctor và ghi nhận thông tin lịch.
2: Mở Lịch hẹn của tôi và kiểm tra lịch vừa tạo có trạng thái “Chờ xác nhận”.
3: Đăng nhập Admin, tìm đúng lịch hẹn và thực hiện Xác nhận.
4: Kiểm tra lịch được cập nhật thành “Đã xác nhận”.
5: Đăng nhập bằng Doctor của lịch hẹn và mở Lịch hẹn bệnh nhân.
6: Tìm đúng lịch đã được Admin xác nhận và thực hiện Khám bệnh.
7: Nhập kết quả khám và lưu hồ sơ bệnh án thành công.
8: Đăng nhập lại bằng Patient và mở Lịch hẹn của tôi.
9: Kiểm tra đúng lịch hẹn chuyển thành “Đã hoàn thành” và các thông tin ban đầu không bị thay đổi.</t>
  </si>
  <si>
    <t>Sau khi Patient đặt lịch, lịch được tạo với trạng thái “Chờ xác nhận”.
Sau khi Admin xác nhận, lịch chuyển thành “Đã xác nhận” và xuất hiện đúng trong danh sách của Doctor.
Doctor có thể thực hiện khám và lưu hồ sơ bệnh án cho đúng lịch hẹn.
Sau khi Doctor hoàn thành khám, lịch chuyển thành “Đã hoàn thành”.
Trong toàn bộ quá trình, ID, bác sĩ, thời gian khám và ghi chú của lịch hẹn không bị thay đổi ngoài trạng thái.
Không phát sinh thêm bản ghi lịch hẹn trùng.</t>
  </si>
  <si>
    <t>TCMyAppointment4_1, TCMyAppointment4_2, TCMyAppointment4_3, TCMyAppointment4_4</t>
  </si>
  <si>
    <t>Hệ thống cho phép hai bác sĩ khác nhau có lịch cùng ngày và cùng ca; cả hai lịch được lưu độc lập.</t>
  </si>
  <si>
    <t>TC-DS-ADMIN-011</t>
  </si>
  <si>
    <t>Kiểm tra không cho phép tạo hai lịch có trạng thái khác nhau cho cùng bác sĩ, ngày và ca.</t>
  </si>
  <si>
    <t>1: Đăng nhập với vai trò Admin.
2: Mở trang Quản lý lịch làm việc bác sĩ.
3: Chọn một bác sĩ.
4: Chọn ngày và ca chưa có lịch.
5: Chọn trạng thái Có lịch làm việc và nhấn Thêm lịch.
6: Chọn lại cùng bác sĩ, cùng ngày và cùng ca.
7: Chọn trạng thái Không làm việc.
8: Nhấn Thêm lịch.
9: Kiểm tra thông báo và các bản ghi trong Danh sách lịch làm việc.</t>
  </si>
  <si>
    <t>Hệ thống không tạo thêm lịch có trạng thái khác cho cùng bác sĩ, ngày và ca.</t>
  </si>
  <si>
    <t>Lịch hẹn được cập nhật đúng xuyên suốt từ “Chờ xác nhận” -&gt; “Đã xác nhận” -&gt; “Đã hoàn thành” sau khi Doctor hoàn tất khám.</t>
  </si>
  <si>
    <t>TCDsAdmin11</t>
  </si>
  <si>
    <t>4. Kiểm tra khung giờ được giải phóng sau khi lịch hẹn bị hủy</t>
  </si>
  <si>
    <t>TC-MYAPPOINTMENT-005</t>
  </si>
  <si>
    <t>Kiểm tra khung giờ của một lịch hẹn đã bị hủy có thể được sử dụng để tạo lịch hẹn mới.</t>
  </si>
  <si>
    <t>1: Patient A thực hiện đặt lịch với Doctor tại một ngày và khung giờ hợp lệ.
2: Ghi nhận Doctor, ngày và khung giờ của lịch vừa tạo.
3: Đăng nhập Admin, tìm đúng lịch của Patient A và thực hiện Hủy lịch.
4: Kiểm tra lịch của Patient A được cập nhật thành “Đã hủy”.
5: Đăng nhập bằng Patient B và mở chức năng đặt lịch với cùng Doctor.
6: Chọn lại đúng ngày và khung giờ của lịch vừa bị hủy.
7: Nhập ghi chú và thực hiện đặt lịch mới.
8: Mở Lịch hẹn của tôi và tìm lịch mới của Patient B.
9: Kiểm tra lịch mới được tạo thành công với trạng thái “Chờ xác nhận” tại đúng khung giờ đã được giải phóng.</t>
  </si>
  <si>
    <t>Lịch của Patient A vẫn giữ trạng thái “Đã hủy”.
Khung giờ của lịch đã hủy được giải phóng.
Patient B có thể đặt lịch mới với cùng Doctor tại cùng ngày giờ.
Lịch mới có ID khác và trạng thái “Chờ xác nhận”.</t>
  </si>
  <si>
    <t xml:space="preserve">Hệ thống vẫn tạo thêm bản ghi mới, dẫn đến cùng bác sĩ, cùng ngày và cùng ca tồn tại đồng thời trạng thái Có lịch và Không làm.		</t>
  </si>
  <si>
    <t>TCMyAppointment5_1, TCMyAppointment5_2, TCMyAppointment5_3</t>
  </si>
  <si>
    <t>TCDsAdminRetest11_1, TCDsAdminRetest11_2</t>
  </si>
  <si>
    <t>Lịch hẹn đã hủy không còn chiếm khung giờ, hệ thống cho phép tạo lịch mới tại cùng ngày giờ với trạng thái “Chờ xác nhận”.</t>
  </si>
  <si>
    <t>6. Kiểm tra hành vi form khi thêm lịch</t>
  </si>
  <si>
    <t>TC-DS-ADMIN-012</t>
  </si>
  <si>
    <t>Kiểm tra hệ thống không tạo nhiều lịch khi Admin nhấn nút Thêm lịch liên tục.</t>
  </si>
  <si>
    <t>1: Đăng nhập với vai trò Admin.
2: Mở trang Quản lý lịch làm việc bác sĩ.
3: Chọn bác sĩ, ngày làm việc, ca, trạng thái và nhập ghi chú hợp lệ cho một lịch chưa tồn tại.
4: Nhấn nút Thêm lịch nhiều lần liên tục.
5: Kiểm tra số bản ghi tương ứng trong Danh sách lịch làm việc.</t>
  </si>
  <si>
    <t>Hệ thống chỉ tạo một lịch làm việc từ thao tác trên.</t>
  </si>
  <si>
    <t>TCDsAdmin12_1, TCDsAdmin12_2, TCDsAdmin12_3</t>
  </si>
  <si>
    <t>Hệ thống chỉ tạo một lịch làm việc dù người dùng nhấn nút Thêm lịch liên tục.</t>
  </si>
  <si>
    <t>TC-DS-ADMIN-013</t>
  </si>
  <si>
    <t>Kiểm tra form trở về trạng thái mặc định sau khi thêm lịch thành công.</t>
  </si>
  <si>
    <t>1: Đăng nhập với vai trò Admin.
2: Mở trang Quản lý lịch làm việc bác sĩ.
3: Chọn bác sĩ, ngày làm việc, ca, trạng thái và nhập ghi chú hợp lệ cho một lịch chưa tồn tại.
4: Nhấn Thêm lịch.
5: Kiểm tra lại các trường trên form Thêm lịch làm việc sau khi thao tác hoàn tất.</t>
  </si>
  <si>
    <t>Form trở về trạng thái mặc định: chưa chọn bác sĩ, ngày làm việc trống, Ca sáng, trạng thái Có lịch làm việc và Ghi chú trống.</t>
  </si>
  <si>
    <t>TCDsAdmin13_1, TCDsAdmin13_2</t>
  </si>
  <si>
    <t>Sau khi thêm lịch thành công, form được reset đúng về các giá trị mặc định.</t>
  </si>
  <si>
    <t>7. Kiểm tra chức năng lọc và xem lịch làm việc</t>
  </si>
  <si>
    <t>TC-DS-ADMIN-014</t>
  </si>
  <si>
    <t>Kiểm tra Admin lọc lịch làm việc theo bác sĩ.</t>
  </si>
  <si>
    <t>1: Đăng nhập với vai trò Admin.
2: Mở trang Quản lý lịch làm việc bác sĩ.
3: Tại mục Lọc lịch làm việc, chọn một bác sĩ có lịch trong tuần đang xem.
4: Quan sát bảng Lịch làm việc theo tuần.
5: Kiểm tra bác sĩ của các lịch đang hiển thị.</t>
  </si>
  <si>
    <t>Bảng lịch theo tuần chỉ hiển thị lịch của bác sĩ được chọn.</t>
  </si>
  <si>
    <t>TCDsAdmin14</t>
  </si>
  <si>
    <t>Bộ lọc theo bác sĩ hoạt động đúng; sau khi chọn Tran Binh, bảng lịch theo tuần chỉ hiển thị lịch của bác sĩ Tran Binh.</t>
  </si>
  <si>
    <t>TC-DS-ADMIN-015</t>
  </si>
  <si>
    <t>Kiểm tra Admin hiển thị lại lịch của tất cả bác sĩ sau khi bỏ điều kiện lọc.</t>
  </si>
  <si>
    <t>1: Đăng nhập với vai trò Admin.
2: Mở trang Quản lý lịch làm việc bác sĩ.
3: Chọn một bác sĩ tại mục Lọc lịch làm việc.
4: Kiểm tra dữ liệu đang được lọc theo bác sĩ đã chọn.
5: Chọn lại Tất cả bác sĩ.
6: Kiểm tra bảng Lịch làm việc theo tuần.</t>
  </si>
  <si>
    <t>Hệ thống bỏ điều kiện lọc và hiển thị lại lịch của tất cả bác sĩ trong tuần đang xem.</t>
  </si>
  <si>
    <t>TCDsAdmin15_1, TCDsAdmin15_2</t>
  </si>
  <si>
    <t>Hệ thống khôi phục đúng dữ liệu khi bỏ điều kiện lọc theo bác sĩ; các lịch của Tran Binh, Pham Dung, Ly Minh và Vu Thinh được hiển thị lại trong bảng tuần.</t>
  </si>
  <si>
    <t>TC-DS-ADMIN-016</t>
  </si>
  <si>
    <t>Kiểm tra Admin chuyển sang tuần trước để xem lịch làm việc.</t>
  </si>
  <si>
    <t>1: Đăng nhập với vai trò Admin.
2: Mở trang Quản lý lịch làm việc bác sĩ.
3: Ghi nhận khoảng ngày của tuần đang hiển thị.
4: Nhấn Tuần trước.
5: Kiểm tra khoảng ngày và dữ liệu trong bảng Lịch làm việc theo tuần.</t>
  </si>
  <si>
    <t>Hệ thống chuyển về tuần liền trước, cập nhật đúng khoảng ngày và hiển thị dữ liệu lịch của tuần đó.</t>
  </si>
  <si>
    <t>TCDsAdmin16_1, TCDsAdmin16_2</t>
  </si>
  <si>
    <t>Chức năng chuyển về tuần trước hoạt động đúng; khoảng thời gian và dữ liệu lịch được hiển thị theo tuần đã chọn.</t>
  </si>
  <si>
    <t>TC-DS-ADMIN-017</t>
  </si>
  <si>
    <t>Kiểm tra Admin chuyển sang tuần sau để xem lịch làm việc.</t>
  </si>
  <si>
    <t>1: Đăng nhập với vai trò Admin.
2: Mở trang Quản lý lịch làm việc bác sĩ.
3: Ghi nhận khoảng ngày của tuần đang hiển thị.
4: Nhấn Tuần sau.
5: Kiểm tra khoảng ngày và dữ liệu trong bảng Lịch làm việc theo tuần.</t>
  </si>
  <si>
    <t>Hệ thống chuyển sang tuần liền sau, cập nhật đúng khoảng ngày và hiển thị dữ liệu lịch của tuần đó.</t>
  </si>
  <si>
    <t>TCDsAdmin17_1, TCDsAdmin17_2</t>
  </si>
  <si>
    <t>Chức năng chuyển sang tuần sau hoạt động đúng; khoảng thời gian và dữ liệu lịch được hiển thị theo tuần đã chọn.</t>
  </si>
  <si>
    <t>8. Kiểm tra chức năng sửa lịch làm việc</t>
  </si>
  <si>
    <t>TC-DS-ADMIN-018</t>
  </si>
  <si>
    <t>Kiểm tra Admin cập nhật lịch làm việc đã tồn tại của bác sĩ.</t>
  </si>
  <si>
    <t>1: Đăng nhập với vai trò Admin.
2: Mở trang Quản lý lịch làm việc bác sĩ.
3: Tại Danh sách lịch làm việc, chọn một lịch đã tồn tại và nhấn Sửa.
4: Kiểm tra thông tin lịch được đưa lên form Cập nhật lịch làm việc.
5: Thay đổi trạng thái của lịch.
6: Thay đổi Ghi chú.
7: Nhấn Cập nhật.
8: Kiểm tra thông báo và thông tin lịch sau khi cập nhật trong Danh sách lịch làm việc.</t>
  </si>
  <si>
    <t>Hệ thống cập nhật lịch thành công, lưu đúng thông tin mới và không tạo thêm bản ghi lịch khác.</t>
  </si>
  <si>
    <t>TCDsAdmin18_1, TCDsAdmin18_2</t>
  </si>
  <si>
    <t>Hệ thống phát sinh lỗi HTTP 400 khi cập nhật lịch làm việc và không lưu thông tin thay đổi.</t>
  </si>
  <si>
    <t>TCDsAdminRetest18_1, TCDsAdminRetest18_2, TCDsAdminRetest18_3</t>
  </si>
  <si>
    <t>TC-DS-ADMIN-019</t>
  </si>
  <si>
    <t>Kiểm tra Hủy sửa không làm thay đổi thông tin lịch làm việc.</t>
  </si>
  <si>
    <t>1: Đăng nhập với vai trò Admin.
2: Mở trang Quản lý lịch làm việc bác sĩ.
3: Chọn một lịch trong Danh sách lịch làm việc và ghi nhận thông tin ban đầu.
4: Nhấn Sửa.
5: Thay đổi một số thông tin trên form nhưng chưa nhấn Cập nhật.
6: Nhấn Hủy sửa.
7: Kiểm tra form và thông tin của lịch trong Danh sách lịch làm việc.</t>
  </si>
  <si>
    <t>Form thoát khỏi chế độ cập nhật, trở về trạng thái thêm lịch và dữ liệu của lịch ban đầu không bị thay đổi.</t>
  </si>
  <si>
    <t>TCDsAdmin19_1, TCDsAdmin19_2, TCDsAdmin19_3</t>
  </si>
  <si>
    <t>Chức năng Hủy sửa hoạt động đúng, không làm thay đổi dữ liệu của lịch hiện có.</t>
  </si>
  <si>
    <t>9. Kiểm tra chức năng xóa lịch làm việc</t>
  </si>
  <si>
    <t>TC-DS-ADMIN-020</t>
  </si>
  <si>
    <t>Kiểm tra Admin xóa lịch làm việc đã tồn tại của bác sĩ.</t>
  </si>
  <si>
    <t>1: Đăng nhập với vai trò Admin.
2: Mở trang Quản lý lịch làm việc bác sĩ.
3: Xác định một lịch dùng cho kiểm thử xóa trong Danh sách lịch làm việc.
4: Nhấn Xóa tại lịch đó.
5: Xác nhận thao tác xóa trên hộp thoại.
6: Kiểm tra thông báo của hệ thống.
7: Kiểm tra lại Danh sách lịch làm việc và bảng lịch theo tuần.</t>
  </si>
  <si>
    <t>Hệ thống xóa lịch thành công; lịch đã xóa không còn xuất hiện trong Danh sách lịch làm việc và bảng lịch theo tuần.</t>
  </si>
  <si>
    <t>TCDsAdmin20_1, TCDsAdmin20_2, TCDsAdmin20_3</t>
  </si>
  <si>
    <t>Chức năng xóa lịch hoạt động đúng; hệ thống yêu cầu xác nhận trước khi xóa và loại bỏ lịch khỏi danh sách sau khi xác nhận.</t>
  </si>
  <si>
    <t>MEDICAL - Medical History</t>
  </si>
  <si>
    <t>Patient Medical History</t>
  </si>
  <si>
    <t>1. Kiểm tra thời điểm phát sinh lịch sử khám bệnh</t>
  </si>
  <si>
    <t>TC-MEDICALHISTORY-001</t>
  </si>
  <si>
    <t>Kiểm tra lịch hẹn chưa được Doctor khám không phát sinh Lịch sử khám bệnh.</t>
  </si>
  <si>
    <t>1: Đăng nhập bằng tài khoản Patient.
2: Tạo một lịch hẹn hợp lệ.
3: Mở trang Lịch sử khám bệnh.
4: Kiểm tra lịch hẹn vừa tạo trong danh sách lịch sử khám.</t>
  </si>
  <si>
    <t>Lịch hẹn vừa tạo chưa xuất hiện trong Lịch sử khám bệnh.
Không phát sinh bản ghi khám bệnh khi Doctor chưa thực hiện khám.</t>
  </si>
  <si>
    <t>TCMedicalHistory1_1, TCMedicalHistory1_2, TCMedicalHistory1_3</t>
  </si>
  <si>
    <t>Lịch hẹn mới chưa được Doctor khám nên không phát sinh bản ghi trong Lịch sử khám bệnh.</t>
  </si>
  <si>
    <t>TC-MEDICALHISTORY-002</t>
  </si>
  <si>
    <t>Kiểm tra lịch hẹn đã được Admin xác nhận nhưng chưa được Doctor khám không phát sinh Lịch sử khám bệnh.</t>
  </si>
  <si>
    <t>1: Đăng nhập bằng tài khoản Patient.
2: Tạo một lịch hẹn hợp lệ.
3: Đăng xuất và đăng nhập bằng tài khoản Admin.
4: Xác nhận lịch hẹn vừa tạo.
5: Đăng xuất và đăng nhập lại bằng tài khoản Patient.
6: Mở trang Lịch sử khám bệnh.
7: Kiểm tra lịch hẹn vừa được xác nhận trong danh sách lịch sử khám</t>
  </si>
  <si>
    <t>Lịch hẹn đã xác nhận chưa xuất hiện trong Lịch sử khám bệnh.
Hệ thống chỉ ghi nhận lịch sử khám sau khi Doctor thực hiện khám và lưu kết quả.</t>
  </si>
  <si>
    <t>TCMedicalHistory2_1, TCMedicalHistory2_2, TCMedicalHistory2_3</t>
  </si>
  <si>
    <t>Lịch hẹn đã được Admin xác nhận nhưng chưa được Doctor khám nên chưa phát sinh bản ghi trong Lịch sử khám bệnh.</t>
  </si>
  <si>
    <t>2. Kiểm tra tạo lịch sử khám sau khi Doctor khám</t>
  </si>
  <si>
    <t>TC-MEDICALHISTORY-003</t>
  </si>
  <si>
    <t>Kiểm tra Lịch sử khám bệnh được tạo sau khi Doctor hoàn thành khám và lưu hồ sơ bệnh án.</t>
  </si>
  <si>
    <t>1: Đăng nhập bằng tài khoản Patient.
2: Tạo một lịch hẹn hợp lệ.
3: Đăng xuất và đăng nhập bằng tài khoản Admin.
4: Xác nhận lịch hẹn vừa tạo.
5: Đăng xuất và đăng nhập bằng tài khoản Doctor phụ trách lịch hẹn.
6: Mở lịch hẹn và chọn Khám bệnh.
7: Nhập thông tin khám và lưu hồ sơ bệnh án.
8: Đăng xuất và đăng nhập lại bằng tài khoản Patient.
9: Mở trang Lịch sử khám bệnh.
10: Kiểm tra bản ghi của lần khám vừa hoàn thành.</t>
  </si>
  <si>
    <t>Lần khám vừa hoàn thành xuất hiện trong Lịch sử khám bệnh của Patient.
Bản ghi thuộc đúng Patient và Doctor thực hiện khám.
Thông tin lần khám được ghi nhận sau khi Doctor lưu hồ sơ bệnh án.</t>
  </si>
  <si>
    <t>TCMedicalHistory3_1, TCMedicalHistory3_2, TCMedicalHistory3_3</t>
  </si>
  <si>
    <t>Sau khi Doctor hoàn thành khám và lưu hồ sơ bệnh án, lần khám mới được ghi nhận đúng trong Lịch sử khám bệnh của Patient.</t>
  </si>
  <si>
    <t>3. Kiểm tra chi tiết lịch sử khám</t>
  </si>
  <si>
    <t>TC-MEDICALHISTORY-004</t>
  </si>
  <si>
    <t>Kiểm tra thông tin chi tiết của một bản ghi Lịch sử khám bệnh.</t>
  </si>
  <si>
    <t>1: Đăng nhập bằng tài khoản Patient đã có Lịch sử khám bệnh.
2: Mở trang Lịch sử khám bệnh.
3: Chọn một bản ghi và ghi nhận thông tin nhận diện của bản ghi.
4: Nhấn Xem chi tiết.
5: Kiểm tra trang chi tiết của bản ghi vừa chọn.</t>
  </si>
  <si>
    <t>Hệ thống mở đúng hồ sơ của bản ghi đã chọn.
Trang chi tiết hiển thị đầy đủ thông tin của hồ sơ.
Thông tin hiển thị tương ứng với bản ghi được chọn.</t>
  </si>
  <si>
    <t>TCMedicalHistory4_1, TCMedicalHistory4-2</t>
  </si>
  <si>
    <t>Nhấn “Xem chi tiết” chuyển đến đúng trang hồ sơ nhưng nội dung chi tiết không được hiển thị.</t>
  </si>
  <si>
    <t>TCMedicalHistoryRetest4_1, TCMedicalHistoryRetest4_2</t>
  </si>
  <si>
    <t>4. Kiểm tra dữ liệu giữa các Patient</t>
  </si>
  <si>
    <t>TC-MEDICALHISTORY-005</t>
  </si>
  <si>
    <t>Kiểm tra Lịch sử khám bệnh được phân tách theo từng Patient.</t>
  </si>
  <si>
    <t>1: Đăng nhập bằng Patient A.
2: Mở trang Lịch sử khám bệnh và ghi nhận các bản ghi hiển thị.
3: Đăng xuất Patient A.
4: Đăng nhập bằng Patient B.
5: Mở trang Lịch sử khám bệnh.
6: So sánh danh sách lịch sử khám của hai Patient.</t>
  </si>
  <si>
    <t>Mỗi Patient chỉ nhìn thấy các bản ghi Lịch sử khám bệnh thuộc tài khoản của mình.
Không xuất hiện bản ghi của Patient A trong lịch sử của Patient B và ngược lại.
Dữ liệu giữa hai Patient được phân tách riêng.</t>
  </si>
  <si>
    <t>TCMedicalHistory5_1, TCMedicalHistory5_2</t>
  </si>
  <si>
    <t>Lịch sử khám bệnh được phân tách đúng theo từng Patient, không xảy ra lẫn dữ liệu giữa các tài khoản.</t>
  </si>
  <si>
    <t>5. Kiểm tra cập nhật hồ sơ bệnh án</t>
  </si>
  <si>
    <t>TC-MEDICALHISTORY-006</t>
  </si>
  <si>
    <t>Kiểm tra Lịch sử khám bệnh được cập nhật sau khi Doctor chỉnh sửa hồ sơ bệnh án.</t>
  </si>
  <si>
    <t>1: Đăng nhập bằng tài khoản Patient đã có hồ sơ bệnh án hoàn thành.
2: Mở trang Lịch sử khám bệnh và ghi nhận thông tin của một bản ghi.
3: Đăng xuất và đăng nhập bằng tài khoản Doctor phụ trách hồ sơ.
4: Mở hồ sơ bệnh án tương ứng và chọn Cập nhật hồ sơ.
5: Thay đổi thông tin khám và lưu cập nhật.
6: Đăng xuất và đăng nhập lại bằng tài khoản Patient.
7: Mở trang Lịch sử khám bệnh.
8: Kiểm tra bản ghi vừa được Doctor cập nhật.</t>
  </si>
  <si>
    <t>Thông tin đã chỉnh sửa được cập nhật trong Lịch sử khám bệnh của Patient.
Bản ghi vẫn giữ nguyên ID ban đầu.
Hệ thống không tạo thêm bản ghi mới sau khi cập nhật hồ sơ.
Các bản ghi Lịch sử khám bệnh khác không bị thay đổi.</t>
  </si>
  <si>
    <t>TCMedicalHistory6_1, TCMedicalHistory6_2, TCMedicalHistory6_3</t>
  </si>
  <si>
    <t>Hồ sơ bệnh án được cập nhật thành công, dữ liệu mới được đồng bộ đúng vào Lịch sử khám bệnh của Patient mà không tạo thêm bản ghi mới.</t>
  </si>
  <si>
    <t>SCHEDULE - Doctor Work Schedule</t>
  </si>
  <si>
    <t>Doctor Work Schedule</t>
  </si>
  <si>
    <t>1. Kiểm tra lịch làm việc theo tuần của bác sĩ</t>
  </si>
  <si>
    <t>TC-WORKSCHEDULE-001</t>
  </si>
  <si>
    <t>Kiểm tra Doctor xem được đúng thông tin cá nhân và lịch làm việc của mình trong tuần được hiển thị.</t>
  </si>
  <si>
    <t>1: Đăng nhập bằng tài khoản Doctor có lịch làm việc.
2: Mở trang Lịch làm việc của tôi.
3: Kiểm tra tên Doctor và chuyên khoa hiển thị trên trang.
4: Kiểm tra khoảng thời gian và 7 ngày của tuần đang hiển thị.
5: Kiểm tra các ca Sáng, Chiều, Tối trong bảng lịch theo tuần.
6: Kiểm tra các ca có lịch hiển thị đúng Doctor và các ca không có lịch hiển thị “Trống”.</t>
  </si>
  <si>
    <t>Hiển thị đúng tên Doctor đang đăng nhập.
Hiển thị đúng chuyên khoa của Doctor.
Hiển thị đúng khoảng ngày của tuần hiện tại.
Các ca có lịch được hiển thị đúng ngày và đúng ca làm việc.
Những ngày/ca không có lịch được hiển thị “Trống”.
Không hiển thị lịch làm việc của Doctor khác.</t>
  </si>
  <si>
    <t>TCWorkSchedule1</t>
  </si>
  <si>
    <t>Lịch làm việc của Doctor được hiển thị đúng theo tuần, bao gồm các ca có lịch, ca nghỉ và các ca trống.</t>
  </si>
  <si>
    <t>TC-WORKSCHEDULE-002</t>
  </si>
  <si>
    <t>Kiểm tra chức năng Tuần trước hiển thị đúng lịch làm việc của Doctor trong tuần liền trước.</t>
  </si>
  <si>
    <t>1: Đăng nhập bằng tài khoản Doctor.
2: Mở trang Lịch làm việc của tôi và ghi nhận tuần đang hiển thị.
3: Nhấn Tuần trước.
4: Kiểm tra khoảng thời gian và các ngày sau khi chuyển tuần.
5: Kiểm tra dữ liệu lịch làm việc thuộc tuần vừa chọn.</t>
  </si>
  <si>
    <t>Khoảng thời gian chuyển đúng về tuần liền trước.
Các ngày trong bảng được cập nhật theo tuần mới.
Chỉ hiển thị lịch làm việc thuộc tuần được chọn.
Các ca có lịch và ca trống được hiển thị đúng theo dữ liệu của tuần đó.
Không còn hiển thị nhầm dữ liệu của tuần trước khi chuyển.</t>
  </si>
  <si>
    <t>TCWorkSchedule2_1, TCWorkSchedule2_2</t>
  </si>
  <si>
    <t>Chức năng “Tuần trước” chuyển đúng khoảng thời gian và hiển thị đúng lịch làm việc tương ứng.</t>
  </si>
  <si>
    <t>TC-WORKSCHEDULE-003</t>
  </si>
  <si>
    <t>Kiểm tra chức năng Tuần sau hiển thị đúng lịch làm việc của Doctor trong tuần kế tiếp.</t>
  </si>
  <si>
    <t>1: Đăng nhập bằng tài khoản Doctor.
2: Mở trang Lịch làm việc của tôi và ghi nhận tuần đang hiển thị.
3: Nhấn Tuần sau.
4: Kiểm tra khoảng thời gian và các ngày sau khi chuyển tuần.
5: Kiểm tra dữ liệu lịch làm việc thuộc tuần vừa chọn.</t>
  </si>
  <si>
    <t>Khoảng thời gian chuyển đúng sang tuần kế tiếp.
Các ngày trong bảng được cập nhật đúng theo tuần mới.
Chỉ hiển thị lịch làm việc thuộc tuần được chọn.
Các ca có lịch và ca trống được hiển thị đúng theo dữ liệu của tuần đó.
Không hiển thị nhầm dữ liệu của tuần trước đó.</t>
  </si>
  <si>
    <t>TCWorkSchedule3_1, TCWorkSchedule3_2</t>
  </si>
  <si>
    <t>Chức năng “Tuần sau” chuyển đúng khoảng thời gian và hiển thị đúng lịch làm việc tương ứng.</t>
  </si>
  <si>
    <t>2. Kiểm tra tính chính xác và phân tách dữ liệu lịch làm việc</t>
  </si>
  <si>
    <t>TC-WORKSCHEDULE-004</t>
  </si>
  <si>
    <t>Kiểm tra thông tin lịch làm việc trong bảng Lịch làm việc theo tuần khớp với dữ liệu trong Danh sách lịch làm việc của Doctor.</t>
  </si>
  <si>
    <t>1: Đăng nhập bằng tài khoản Doctor có lịch làm việc.
2: Mở trang Lịch làm việc của tôi.
3: Ghi nhận các lịch làm việc đang hiển thị trong bảng Lịch làm việc theo tuần.
4: Mở khu vực Danh sách lịch làm việc phía dưới.
5: Ghi nhận các lịch làm việc trong danh sách.
6: Đối chiếu Doctor, ngày, ca và thời gian giữa hai khu vực.</t>
  </si>
  <si>
    <t>Mỗi ca có lịch trong bảng theo tuần có bản ghi tương ứng trong danh sách lịch làm việc.
Doctor hiển thị đúng.
Ngày làm việc khớp giữa hai khu vực.
Ca làm việc khớp.
Thời gian bắt đầu và kết thúc đúng với ca tương ứng.
Không xuất hiện bản ghi sai ngày hoặc sai ca.</t>
  </si>
  <si>
    <t>TCWorkSchedule4_1, TCWorkSchedule4_2</t>
  </si>
  <si>
    <t>Dữ liệu giữa Lịch làm việc theo tuần và Danh sách lịch làm việc hiển thị đồng nhất về ngày, ca, thời gian và trạng thái.</t>
  </si>
  <si>
    <t>TC-WORKSCHEDULE-005</t>
  </si>
  <si>
    <t>Kiểm tra mỗi Doctor chỉ xem được lịch làm việc thuộc tài khoản của mình và không bị hiển thị lịch của Doctor khác.</t>
  </si>
  <si>
    <t>1: Đăng nhập bằng Doctor A.
2: Mở Lịch làm việc của tôi và ghi nhận tên Doctor, chuyên khoa và lịch đang hiển thị.
3: Đăng xuất Doctor A.
4: Đăng nhập bằng Doctor B.
5: Mở Lịch làm việc của tôi và ghi nhận tên Doctor, chuyên khoa và lịch đang hiển thị.
6: Kiểm tra Doctor B chỉ thấy thông tin và lịch làm việc của mình.
7: Đối chiếu dữ liệu Doctor A và Doctor B để bảo đảm không bị lẫn lịch.</t>
  </si>
  <si>
    <t>Khi đăng nhập Doctor A, hệ thống hiển thị đúng tên, chuyên khoa và lịch làm việc của Doctor A.
Khi đăng nhập Doctor B, hệ thống hiển thị đúng thông tin và lịch làm việc của Doctor B.
Không hiển thị lịch của Doctor A trong tài khoản Doctor B và ngược lại.
Dữ liệu lịch làm việc được phân tách đúng theo từng Doctor.</t>
  </si>
  <si>
    <t>TCWorkSchedule5_1, TCWorkSchedule5_2</t>
  </si>
  <si>
    <t>Lịch làm việc được hiển thị và phân tách đúng theo từng Doctor, không xảy ra lẫn dữ liệu giữa các tài khoản.</t>
  </si>
  <si>
    <t>NOTIFICATION - Patient Notifications</t>
  </si>
  <si>
    <t>Patient Notification</t>
  </si>
  <si>
    <t>1. Kiểm tra Patient nhận thông báo sau khi lịch hẹn được Admin thao tác</t>
  </si>
  <si>
    <t>TC-NOTIFICATION-001</t>
  </si>
  <si>
    <t xml:space="preserve">Kiểm tra Patient nhận được thông báo đúng sau khi Admin xác nhận lịch hẹn mà Patient đã đặt.
</t>
  </si>
  <si>
    <t xml:space="preserve">1: Patient thực hiện đặt một lịch khám hợp lệ.
2: Đăng nhập bằng Admin.
3: Mở Quản lý lịch hẹn và xác nhận lịch vừa tạo.
4: Đăng xuất Admin và đăng nhập lại bằng Patient.
5: Mở trang Thông báo.
6: Tìm thông báo liên quan đến lịch hẹn vừa được xác nhận.
7: Kiểm tra loại, nội dung và thời gian của thông báo.
</t>
  </si>
  <si>
    <t>Patient nhận được thông báo cho đúng lịch hẹn vừa được Admin xác nhận.
Thông báo thuộc loại [Lịch hẹn].
Nội dung thông báo chứa đúng mã lịch hẹn và thể hiện lịch hẹn đã được xác nhận.
Không lấy nhầm thông báo của lịch hẹn khác.
Thời gian thông báo được hiển thị và đúng định dạng HH:mm:ss dd/MM/yyyy.</t>
  </si>
  <si>
    <t>TCNotification1_1, TCNotification1_2, TCNotification1_3</t>
  </si>
  <si>
    <t>Thông báo lịch hẹn được tạo và hiển thị đúng cho Patient sau khi Admin xác nhận lịch.</t>
  </si>
  <si>
    <t>TC-NOTIFICATION-002</t>
  </si>
  <si>
    <t>Kiểm tra Patient nhận được thông báo phù hợp khi Admin thực hiện hủy lịch hẹn của Patient.</t>
  </si>
  <si>
    <t>1: Patient đặt một lịch khám hợp lệ.
2: Đăng nhập bằng Admin.
3: Mở Quản lý lịch hẹn và hủy lịch vừa tạo.
4: Đăng xuất Admin và đăng nhập lại bằng Patient.
5: Mở trang Thông báo.
6: Tìm thông báo liên quan đến lịch hẹn vừa bị hủy.
7: Kiểm tra loại và nội dung thông báo.</t>
  </si>
  <si>
    <t>Patient nhận được thông báo cho đúng lịch hẹn vừa bị Admin hủy.
Thông báo thuộc loại [Lịch hẹn].
Nội dung thông báo chứa đúng mã lịch hẹn và thể hiện lịch hẹn đã bị hủy.
Không lấy nhầm thông báo của lịch hẹn khác.
Thời gian thông báo được hiển thị và đúng định dạng HH:mm:ss dd/MM/yyyy.</t>
  </si>
  <si>
    <t>TCNotification2_1 TCNotification2_2, TCNotification2_3</t>
  </si>
  <si>
    <t>Không phát sinh thông báo cho Patient sau khi Admin hủy lịch hẹn.</t>
  </si>
  <si>
    <t>TCNotificationRetest2_1, TCNotificationRetest2_2, TCNotificationRetest2_3</t>
  </si>
  <si>
    <t>2. Kiểm tra Patient nhận thông báo sau khi lịch hẹn được Doctor thao tác</t>
  </si>
  <si>
    <t>TC-NOTIFICATION-003</t>
  </si>
  <si>
    <t>Kiểm tra Patient nhận được thông báo sau khi Doctor thực hiện khám, nhập chẩn đoán và hướng điều trị, sau đó lưu hồ sơ bệnh án.</t>
  </si>
  <si>
    <t>1: Chuẩn bị Patient có lịch hẹn đã được Admin xác nhận.
2: Đăng nhập bằng Doctor phụ trách lịch hẹn.
3: Mở lịch hẹn của Patient và chọn Khám bệnh.
4: Nhập Chẩn đoán và Hướng điều trị hợp lệ.
5: Lưu hồ sơ bệnh án.
6: Đăng xuất Doctor và đăng nhập lại bằng Patient.
7: Mở trang Thông báo.
8: Tìm và kiểm tra thông báo mới phát sinh sau khi Doctor lưu hồ sơ bệnh án, bao gồm nội dung và thời gian thông báo.</t>
  </si>
  <si>
    <t>Patient nhận được thông báo mới sau khi Doctor cập nhật kết quả khám. Loại thông báo hiển thị là [Thông báo], nội dung thể hiện “Kết quả khám của bạn đã được bác sĩ ... cập nhật”, kèm thời gian thông báo.</t>
  </si>
  <si>
    <t>TCNotification3_1, TCNotification3_2, TCNotification3_3</t>
  </si>
  <si>
    <t>Không phát sinh thông báo cho Patient sau khi Doctor lưu kết quả khám.</t>
  </si>
  <si>
    <t>TCNotificationRetest3_1, TCNotificationRetest3_2, TCNotificationRetest3_3</t>
  </si>
  <si>
    <t>3. Kiểm tra lưu trữ và phân tách thông báo</t>
  </si>
  <si>
    <t>TC-NOTIFICATION-004</t>
  </si>
  <si>
    <t>Kiểm tra khi Patient phát sinh nhiều thông báo từ các sự kiện khác nhau, các thông báo được lưu thành các bản ghi riêng biệt và không ghi đè lẫn nhau.</t>
  </si>
  <si>
    <t>1: Đăng nhập bằng Patient.
2: Tạo một lịch hẹn mới hợp lệ.
3: Đăng xuất Patient và đăng nhập bằng Admin.
4: Mở trang Quản lý lịch hẹn và xác nhận lịch hẹn vừa tạo.
5: Đăng xuất Admin và đăng nhập lại bằng Patient.
6: Mở trang Thông báo.
7: Kiểm tra thông báo mới của lịch vừa được xác nhận.
8: Kiểm tra thông báo đã tồn tại trước đó vẫn còn hiển thị.</t>
  </si>
  <si>
    <t>Patient nhận được thông báo mới tương ứng với sự kiện vừa phát sinh.
Thông báo mới được hiển thị trong danh sách Thông báo.
Các thông báo đã tồn tại trước đó vẫn còn hiển thị, không bị mất hoặc ghi đè.
Nội dung của các thông báo không bị trộn lẫn.</t>
  </si>
  <si>
    <t>TCNotification4</t>
  </si>
  <si>
    <t>Các thông báo được lưu và hiển thị riêng biệt, thông báo mới không ghi đè các thông báo trước đó.</t>
  </si>
  <si>
    <t>TC-NOTIFICATION-005</t>
  </si>
  <si>
    <t>Kiểm tra thông báo được phân tách đúng giữa các tài khoản Patient, Patient này không xem được thông báo của Patient khác.</t>
  </si>
  <si>
    <t>1: Đăng nhập bằng tài khoản patient_an.
2: Mở trang Thông báo và ghi nhận danh sách thông báo đang hiển thị.
3: Đăng xuất patient_an, sau đó đăng nhập bằng tài khoản patient_thu.
4: Mở trang Thông báo và ghi nhận danh sách thông báo đang hiển thị.
5: So sánh nội dung thông báo của hai Patient, xác nhận danh sách thông báo được hiển thị riêng theo từng tài khoản và không giống hoàn toàn nhau.</t>
  </si>
  <si>
    <t>Patient A chỉ xem được thông báo liên quan đến lịch hẹn của Patient A và không xem được thông báo của Patient B.
Patient B chỉ xem được thông báo liên quan đến lịch hẹn của Patient B và không xem được thông báo của Patient A.
Nội dung thông báo của hai Patient được phân tách chính xác, không xảy ra hiển thị chéo dữ liệu giữa các tài khoản.</t>
  </si>
  <si>
    <t>TCNotification5_1, TCNotification5_2</t>
  </si>
  <si>
    <t>Đã đối chiếu trên 2 tài khoản Patient khác nhau. Danh sách notification hiển thị riêng biệt, không bị trộn lẫn giữa các tài khoản.</t>
  </si>
  <si>
    <t xml:space="preserve">4. Kiểm tra thông báo đơn thuốc
</t>
  </si>
  <si>
    <t>DOCTOR - Doctor Management</t>
  </si>
  <si>
    <t>TC-NOTIFICATION-006</t>
  </si>
  <si>
    <t>Kiểm tra Patient nhận được thông báo đúng sau khi Doctor tạo và lưu đơn thuốc mới cho hồ sơ khám của Patient.</t>
  </si>
  <si>
    <t>1: Chuẩn bị Patient có lịch hẹn đã được xác nhận.
2: Doctor đăng nhập.
3: Doctor mở lịch hẹn của Patient.
4: Thực hiện khám bệnh.
5: Nhập/lưu thông tin khám cần thiết.
6: Mở chức năng kê đơn thuốc.
7: Tạo đơn thuốc hợp lệ cho Patient.
8: Đăng xuất Doctor và đăng nhập Patient.
9: Mở Thông báo và kiểm tra notification về đơn thuốc.</t>
  </si>
  <si>
    <t>Doctor tạo đơn thuốc cho Patient thành công.
Patient nhận được thông báo mới sau khi đơn thuốc được tạo.
Thông báo thuộc loại [Đơn thuốc].
Nội dung thông báo thể hiện đúng sự kiện đơn thuốc mới được tạo cho Patient.
Thời gian thông báo được ghi nhận và hiển thị.</t>
  </si>
  <si>
    <t>TCNotification6_1, TCNotification6_2, TCNotification6_3, TCNotification6_4</t>
  </si>
  <si>
    <t>Doctor Information</t>
  </si>
  <si>
    <t>Không phát sinh thông báo đơn thuốc cho Patient sau khi Doctor lưu đơn thuốc mới.</t>
  </si>
  <si>
    <t>TCNotificationRetest6_1, TCNotificationRetest6_2</t>
  </si>
  <si>
    <t xml:space="preserve">5. Kiểm tra thông báo kết quả xét nghiệm
</t>
  </si>
  <si>
    <t>TC-NOTIFICATION-007</t>
  </si>
  <si>
    <t>Kiểm tra Patient nhận được thông báo đúng sau khi Doctor thêm và lưu kết quả xét nghiệm vào hồ sơ bệnh án của Patient.</t>
  </si>
  <si>
    <t>1: Chuẩn bị Patient có hồ sơ bệnh án đã được Doctor tạo.
2: Đăng nhập bằng Doctor phụ trách hồ sơ bệnh án.
3: Mở Chi tiết hồ sơ bệnh án của Patient.
4: Chuyển đến phần Xét nghiệm.
5: Thêm kết quả xét nghiệm với thông tin hợp lệ.
6: Lưu kết quả xét nghiệm.
7: Đăng xuất Doctor và đăng nhập lại bằng Patient.
8: Mở trang Thông báo.
9: Tìm thông báo mới phát sinh liên quan đến kết quả xét nghiệm vừa được lưu.</t>
  </si>
  <si>
    <t>Kết quả xét nghiệm được lưu thành công.
Patient nhận được một thông báo mới sau khi kết quả xét nghiệm được cập nhật.
Thông báo thuộc loại [Kết quả xét nghiệm].
Nội dung thông báo thể hiện đúng sự kiện kết quả xét nghiệm của Patient đã được cập nhật.
Thời gian thông báo được ghi nhận và hiển thị.</t>
  </si>
  <si>
    <t>TCNotification7_1, TCNotification7_2</t>
  </si>
  <si>
    <t>Không phát sinh thông báo kết quả xét nghiệm cho Patient sau khi Doctor thêm kết quả xét nghiệm.</t>
  </si>
  <si>
    <t>Kiểm tra chức năng Bác sĩ khi Patient đã đăng nhập</t>
  </si>
  <si>
    <t>TCNotificationRetest7_1, TCNotificationRetest7_2</t>
  </si>
  <si>
    <t>TC-DOCTOR-001</t>
  </si>
  <si>
    <t>Kiểm tra danh sách bác sĩ và thông tin bác sĩ được hiển thị đầy đủ khi mở trang</t>
  </si>
  <si>
    <t>1: Mở trang bác sĩ.
2: Quan sát tiêu đề và số lượng bác sĩ hiển thị.
3: Quan sát các card bác sĩ trong danh sách.
4: Kiểm tra thông tin trên từng card gồm hình ảnh, tên bác sĩ, chuyên khoa, kinh nghiệm và nút Đặt lịch hẹn.</t>
  </si>
  <si>
    <t>Trang Bác sĩ được mở thành công. Hiển thị tiêu đề Danh sách bác sĩ. Số lượng hiển thị khớp với số card bác sĩ thực tế. Danh sách hiện đầy đủ 4 bác sĩ. Mỗi card hiển thị đầy đủ hình ảnh, tên, chuyên khoa, kinh nghiệm và nút Đặt lịch hẹn. Không có card bị thiếu hoặc trùng dữ liệu.</t>
  </si>
  <si>
    <t>TCDoctor1</t>
  </si>
  <si>
    <t>6. Kiểm tra thông báo khi dữ liệu khám bệnh được thay đổi</t>
  </si>
  <si>
    <t>TC-NOTIFICATION-008</t>
  </si>
  <si>
    <t>Kiểm tra Patient nhận được thông báo mới khi Doctor kê thêm một đơn thuốc mới cho Patient đã có đơn thuốc trước đó.</t>
  </si>
  <si>
    <t>1: Chuẩn bị Patient đã có một đơn thuốc cũ.
2: Ghi nhận notification của đơn thuốc cũ.
3: Doctor đăng nhập.
4: Mở hồ sơ bệnh án → tab Đơn thuốc.
5: Kê thêm một đơn thuốc mới với thuốc/số lượng/liều dùng khác.
6: Lưu đơn thuốc mới.
7: Đăng xuất Doctor → đăng nhập Patient.
8: Mở Thông báo.
9: Tìm và kiểm tra thông báo mới phát sinh từ đơn thuốc vừa được lưu.</t>
  </si>
  <si>
    <t>Đơn thuốc mới được lưu thành công. Patient nhận được một thông báo mới thuộc loại [Đơn thuốc]. Nội dung thông báo tương ứng với đơn thuốc mới vừa được tạo. Thông báo mới không bị nhầm hoặc ghi đè bởi thông báo của đơn thuốc trước đó. Thời gian thông báo được ghi nhận và hiển thị.</t>
  </si>
  <si>
    <t>TCNotification8_1, TCNotification8_2, TCNotification8_3</t>
  </si>
  <si>
    <t>Hiển thị đúng 4 bác sĩ và đầy đủ thông tin trên từng card.</t>
  </si>
  <si>
    <t>TC-DOCTOR-002</t>
  </si>
  <si>
    <t>Kiểm tra tìm kiếm bác sĩ với từ khóa hợp lệ</t>
  </si>
  <si>
    <t>1: Mở trang bác sĩ.
2: Nhập Tran Binh vào ô tìm kiếm.
3: Nhấn Tìm kiếm.
4: Quan sát kết quả.</t>
  </si>
  <si>
    <t>Hệ thống trả về bác sĩ Tran Binh. Không hiển thị các bác sĩ không phù hợp với từ khóa. Số lượng bác sĩ hiển thị được cập nhật tương ứng với kết quả tìm kiếm. Card kết quả vẫn hiển thị đầy đủ thông tin và nút Đặt lịch hẹn.</t>
  </si>
  <si>
    <t>TCDoctor2</t>
  </si>
  <si>
    <t>Phát sinh đúng thông báo [Đơn thuốc] mới sau khi Doctor kê thêm đơn thuốc mới; thông báo cũ và mới được hiển thị riêng biệt.</t>
  </si>
  <si>
    <t>TC-NOTIFICATION-009</t>
  </si>
  <si>
    <t>Kiểm tra Patient nhận được thông báo mới sau khi Doctor chỉnh sửa Chẩn đoán và Hướng điều trị của một hồ sơ bệnh án đã tồn tại.</t>
  </si>
  <si>
    <t>1: Chuẩn bị Patient đã có hồ sơ khám với Chẩn đoán và Hướng điều trị được lưu trước đó.
2: Đăng nhập Doctor phụ trách.
3: Mở hồ sơ khám của Patient.
4: Chỉnh sửa Chẩn đoán và/hoặc Hướng điều trị.
5: Lưu thông tin đã cập nhật.
6: Đăng xuất Doctor và đăng nhập Patient.
7: Mở trang Thông báo.
8: Tìm và kiểm tra thông báo mới phát sinh sau khi Doctor cập nhật hồ sơ khám.</t>
  </si>
  <si>
    <t>Thông tin Chẩn đoán/Hướng điều trị được cập nhật thành công.
Patient nhận được một thông báo mới sau khi Doctor cập nhật hồ sơ khám.
Nội dung thông báo thể hiện đúng sự kiện hồ sơ/kết quả khám của Patient vừa được cập nhật.
Thông báo mới không bị nhầm với thông báo đã phát sinh khi lưu kết quả khám trước đó.
Thời gian thông báo được ghi nhận và hiển thị.</t>
  </si>
  <si>
    <t xml:space="preserve">TCNotification9_1, TCNotification9_2, TCNotification9_3, </t>
  </si>
  <si>
    <t>Hệ thống thực hiện tìm kiếm đúng.</t>
  </si>
  <si>
    <t>TC-DOCTOR-003</t>
  </si>
  <si>
    <t>Kiểm tra tìm kiếm bác sĩ với từ khóa không tồn tại</t>
  </si>
  <si>
    <t>1: Mở trang bác sĩ.
2: Nhập một tên bác sĩ không tồn tại, ví dụ Nguyen Van A.
3: Nhấn Tìm kiếm.
4: Quan sát kết quả.</t>
  </si>
  <si>
    <t>Hệ thống không hiển thị card bác sĩ không phù hợp. Số lượng kết quả hiển thị bằng 0 hoặc hệ thống thể hiện trạng thái không có kết quả theo thiết kế. Trang không phát sinh lỗi và các thành phần giao diện vẫn hoạt động bình thường.</t>
  </si>
  <si>
    <t>TCDoctor3</t>
  </si>
  <si>
    <t xml:space="preserve"> </t>
  </si>
  <si>
    <t>Không phát sinh thông báo mới cho Patient sau khi Doctor cập nhật Chẩn đoán và Hướng điều trị của hồ sơ bệnh án.</t>
  </si>
  <si>
    <t>TC-DOCTOR-004</t>
  </si>
  <si>
    <t>Kiểm tra nút Đặt lịch hẹn điều hướng đúng đến bác sĩ được chọn</t>
  </si>
  <si>
    <t>1: Mở trang bác sĩ.
2: Chọn một bác sĩ, ví dụ Tran Binh.
3: Nhấn Đặt lịch hẹn trên đúng card của bác sĩ đó.
4: Quan sát trang được điều hướng đến.
5: Kiểm tra thông tin bác sĩ trên trang đặt lịch.</t>
  </si>
  <si>
    <t>Hệ thống điều hướng sang trang Đặt lịch hẹn khám của đúng bác sĩ đã chọn. Thông tin bác sĩ trên trang đặt lịch tương ứng với Tran Binh. Không điều hướng sang bác sĩ khác và không phát sinh lỗi.</t>
  </si>
  <si>
    <t>TCDoctor4_1, TCDoctor4_2</t>
  </si>
  <si>
    <t>Hệ thống thực hiện chuyển hướng đúng.</t>
  </si>
  <si>
    <t>SPECIALTY - Specialty Management</t>
  </si>
  <si>
    <t>Specialty Information</t>
  </si>
  <si>
    <t>TC-SPECIALTY-001</t>
  </si>
  <si>
    <t>Kiểm tra danh sách chuyên khoa và thông tin chuyên khoa được hiển thị đầy đủ khi mở trang</t>
  </si>
  <si>
    <t>1: Patient mở trang Chuyên khoa.
2: Quan sát tiêu đề và số lượng chuyên khoa hiển thị.
3: Quan sát các card chuyên khoa trong danh sách.
4: Kiểm tra thông tin trên từng card gồm hình ảnh, tên chuyên khoa, mô tả, nút Xem bác sĩ thuộc khoa và Xem chi tiết khoa.</t>
  </si>
  <si>
    <t>Trang Chuyên khoa được mở thành công. Hiển thị tiêu đề Danh mục chuyên khoa. Số lượng hiển thị khớp với số card chuyên khoa thực tế. Danh sách hiển thị đầy đủ 8 chuyên khoa. Mỗi card có đầy đủ hình ảnh, tên, mô tả và các nút chức năng tương ứng.</t>
  </si>
  <si>
    <t>TCSpecialty1</t>
  </si>
  <si>
    <t>Hiển thị đầy đủ danh sách và thông tin chuyên khoa theo thiết kế.</t>
  </si>
  <si>
    <t>TC-SPECIALTY-002</t>
  </si>
  <si>
    <t>Kiểm tra tìm kiếm chuyên khoa với từ khóa hợp lệ</t>
  </si>
  <si>
    <t>1: Patient mở trang Chuyên khoa.
2: Nhập tên một chuyên khoa tồn tại, ví dụ Mat.
3: Nhấn Tìm kiếm.
4: Quan sát kết quả và số lượng hiển thị.</t>
  </si>
  <si>
    <t>Hệ thống hiển thị các chuyên khoa có tên chứa từ khóa tìm kiếm. Không hiển thị chuyên khoa không phù hợp. Số lượng hiển thị được cập nhật tương ứng với số kết quả tìm được. Các card kết quả hiển thị đầy đủ thông tin và chức năng.</t>
  </si>
  <si>
    <t>TCSpecialty2</t>
  </si>
  <si>
    <t>Tìm kiếm theo từ khóa hoạt động đúng, kết quả và số lượng hiển thị phù hợp.</t>
  </si>
  <si>
    <t>TC-SPECIALTY-003</t>
  </si>
  <si>
    <t>Kiểm tra tìm kiếm chuyên khoa với từ khóa không tồn tại</t>
  </si>
  <si>
    <t>1: Patient mở trang Chuyên khoa.
2: Nhập tên một chuyên khoa không tồn tại, ví dụ Noi than kinh.
3: Nhấn Tìm kiếm.
4: Quan sát kết quả và số lượng hiển thị.</t>
  </si>
  <si>
    <t>Hệ thống không hiển thị card chuyên khoa không phù hợp. Số lượng chuyên khoa hiển thị bằng 0 và hiển thị trạng thái/thông báo không có kết quả theo giao diện thực tế. Trang không phát sinh lỗi.</t>
  </si>
  <si>
    <t>TCSpecialty3</t>
  </si>
  <si>
    <t>Hiển thị đúng trạng thái khi không có kết quả tìm kiếm.</t>
  </si>
  <si>
    <t>TC-SPECIALTY-004</t>
  </si>
  <si>
    <t>Kiểm tra nút Xem bác sĩ thuộc khoa hiển thị đúng bác sĩ của chuyên khoa được chọn</t>
  </si>
  <si>
    <t>1: Patient mở trang Chuyên khoa.
2: Chọn chuyên khoa mắt.
3: Nhấn Xem bác sĩ thuộc khoa.
4: Quan sát trang/kết quả được hiển thị.
5: Kiểm tra bác sĩ hiển thị có thuộc chuyên khoa Mắt.</t>
  </si>
  <si>
    <t>Hệ thống điều hướng hoặc hiển thị danh sách bác sĩ thuộc đúng chuyên khoa Mắt. Không hiển thị bác sĩ thuộc chuyên khoa khác và không phát sinh lỗi.</t>
  </si>
  <si>
    <t>TCSpecialty4</t>
  </si>
  <si>
    <t>Hiển thị đúng danh sách bác sĩ theo chuyên khoa được chọn.</t>
  </si>
  <si>
    <t>TC-SPECIALTY-005</t>
  </si>
  <si>
    <t>Kiểm tra nút Xem chi tiết khoa hiển thị đúng thông tin chuyên khoa được chọn</t>
  </si>
  <si>
    <t>1: Patient mở trang Chuyên khoa.
2: Chọn chuyên khoa mắt.
3: Nhấn Xem chi tiết khoa.
4: Quan sát trang/kết quả được hiển thị.
5: Kiểm tra tên chuyên khoa, thông tin giới thiệu, số lượng bác sĩ và đội ngũ bác sĩ trực thuộc hiển thị đúng với chuyên khoa Mắt.</t>
  </si>
  <si>
    <t>Hệ thống hiển thị hoặc điều hướng đến phần chi tiết của đúng chuyên khoa Mắt. Tên chuyên khoa và nội dung chi tiết tương ứng với chuyên khoa đã chọn. Không hiển thị nhầm chuyên khoa và không phát sinh lỗi.</t>
  </si>
  <si>
    <t>TCSpecialty5</t>
  </si>
  <si>
    <t>Hiển thị đúng và đầy đủ thông tin chi tiết của chuyên khoa được chọn.</t>
  </si>
  <si>
    <t>DRUG - Drug Inventory Management</t>
  </si>
  <si>
    <t>Drug Inventory Management</t>
  </si>
  <si>
    <t>1. Kiểm tra hiển thị danh mục thuốc</t>
  </si>
  <si>
    <t>TC-DRUG-CATEGORY-001</t>
  </si>
  <si>
    <t>Kiểm tra các danh mục thuốc được hiển thị đầy đủ trên trang Quản lý kho dược phẩm.</t>
  </si>
  <si>
    <t>1: Đăng nhập hệ thống bằng tài khoản Admin hợp lệ.
2: Mở menu Quản lý Kho thuốc.
3: Truy cập trang Quản lý kho dược phẩm.
4: Xác định khu vực hiển thị các nút danh mục thuốc.
5: Kiểm tra nút Tất cả được hiển thị.
6: Kiểm tra các danh mục thuốc trong hệ thống được hiển thị thành các nút lựa chọn.
7: Kiểm tra tên các danh mục hiển thị không rỗng và không bị trùng lặp.</t>
  </si>
  <si>
    <t>Trang Quản lý kho dược phẩm được mở thành công.
Nút Tất cả được hiển thị.
Các danh mục thuốc được hiển thị đầy đủ dưới dạng các nút lọc.
Tên danh mục không rỗng.
Không xuất hiện hai nút danh mục có cùng tên.</t>
  </si>
  <si>
    <t>TCDrugCategory1</t>
  </si>
  <si>
    <t>Giao diện hệ thống thể hiện đúng.</t>
  </si>
  <si>
    <t>2. Kiểm tra lọc dữ liệu</t>
  </si>
  <si>
    <t>TC-DRUG-CATEGORY-002</t>
  </si>
  <si>
    <t>Kiểm tra hệ thống chỉ hiển thị các thuốc thuộc danh mục được Admin lựa chọn.</t>
  </si>
  <si>
    <t>1: Đăng nhập hệ thống bằng tài khoản Admin hợp lệ.
2: Mở trang Quản lý kho dược phẩm.
3: Chọn danh mục Thuốc răng hàm mặt.
4: Chờ danh sách thuốc được cập nhật.
5: Lấy tất cả các dòng thuốc đang hiển thị trong bảng.
6: Đọc giá trị cột Danh mục của từng thuốc.
7: So sánh danh mục thực tế của từng thuốc với danh mục Thuốc răng hàm mặt đã chọn.</t>
  </si>
  <si>
    <t>Danh mục Thuốc răng hàm mặt được chọn thành công.
Danh sách thuốc được cập nhật.
Tất cả thuốc đang hiển thị đều có cột Danh mục = Thuốc răng hàm mặt.
Không có thuốc thuộc danh mục khác xuất hiện trong kết quả.</t>
  </si>
  <si>
    <t>TCDrugCategory2</t>
  </si>
  <si>
    <t>Hệ thống thực hiện lọc đúng.</t>
  </si>
  <si>
    <t>3. Kiểm tra chức năng cập nhật thuốc</t>
  </si>
  <si>
    <t>TC-DRUG-CATEGORY-003</t>
  </si>
  <si>
    <t>Kiểm tra Admin có thể cập nhật thông tin của một thuốc đang tồn tại trong hệ thống.</t>
  </si>
  <si>
    <t>1: Đăng nhập hệ thống bằng tài khoản Admin hợp lệ.
2: Truy cập trang Quản lý kho dược phẩm.
3: Tìm thuốc Franrogyl trong danh sách.
4: Nhấn nút Sửa của thuốc Franrogyl.
5: Kiểm tra hệ thống mở trang Cập nhật thuốc và hiển thị thông tin hiện tại của Franrogyl.
6: Thay đổi trường Giá từ 10000 thành 12000.
7: Nhấn nút Cập nhật/Lưu.
8: Chờ hệ thống xử lý và quay lại danh sách thuốc.
9: Tìm lại thuốc Franrogyl.
10: Kiểm tra giá của Franrogyl đã được cập nhật thành 12.000đ.</t>
  </si>
  <si>
    <t>Trang cập nhật hiển thị đúng thông tin hiện tại của thuốc Franrogyl.
Hệ thống cho phép thay đổi giá thuốc và lưu thành công.
Sau khi cập nhật, Franrogyl hiển thị giá mới là 12.000đ trong danh sách thuốc.</t>
  </si>
  <si>
    <t>TCDrugCategory3_1, TCDrugCategory3_2</t>
  </si>
  <si>
    <t>Hệ thống thực hiện cập nhật đúng.</t>
  </si>
  <si>
    <t>4. Kiểm tra chức năng tìm kiếm</t>
  </si>
  <si>
    <t>TC-DRUG-CATEGORY-004</t>
  </si>
  <si>
    <t>Kiểm tra hệ thống tìm kiếm và hiển thị đúng thuốc theo tên được Admin nhập.</t>
  </si>
  <si>
    <t>1: Đăng nhập bằng tài khoản Admin hợp lệ.
2: Mở trang Quản lý kho dược phẩm.
3: Chọn Tất cả.
4: Nhập Franrogyl vào ô tìm kiếm.
5: Nhấn Tìm kiếm.
6: Chờ hệ thống trả về kết quả.
7: Kiểm tra tên thuốc trong danh sách kết quả.</t>
  </si>
  <si>
    <t>Hệ thống tìm thấy thuốc Franrogyl.
Kết quả hiển thị thuốc có tên phù hợp với từ khóa tìm kiếm.
Không xuất hiện thuốc không phù hợp với từ khóa.</t>
  </si>
  <si>
    <t>TCDrugCategory4</t>
  </si>
  <si>
    <t>TC-DRUG-CATEGORY-005</t>
  </si>
  <si>
    <t>Kiểm tra hệ thống xử lý đúng khi Admin tìm một thuốc không thuộc danh mục đang được chọn.</t>
  </si>
  <si>
    <t>1: Đăng nhập bằng tài khoản Admin hợp lệ.
2: Mở trang Quản lý kho dược phẩm.
3: Chọn danh mục Thuốc tiêu hóa.
4: Chờ danh sách được cập nhật.
5: Nhập Franrogyl vào ô tìm kiếm.
6: Nhấn Tìm kiếm.
7: Chờ hệ thống trả về kết quả.
8: Kiểm tra danh sách thuốc sau khi tìm kiếm.</t>
  </si>
  <si>
    <t>Hệ thống không hiển thị Franrogyl nếu thuốc không thuộc danh mục Thuốc tiêu hóa.
Không xuất hiện thuốc sai điều kiện danh mục.
Trang không phát sinh lỗi hoặc bị treo khi không có kết quả phù hợp.</t>
  </si>
  <si>
    <t>TCDrugCategory5</t>
  </si>
  <si>
    <t>TC-DRUG-CATEGORY-006</t>
  </si>
  <si>
    <t>Kiểm tra hệ thống xử lý đúng khi Admin tìm một thuốc thuộc danh mục đang được chọn.</t>
  </si>
  <si>
    <t>1: Đăng nhập bằng tài khoản Admin hợp lệ.
2: Mở trang Quản lý kho dược phẩm.
3: Chọn danh mục Thuốc răng hàm mặt.
4: Chờ danh sách được cập nhật.
5: Nhập Franrogyl vào ô tìm kiếm.
6: Nhấn Tìm kiếm.
7: Chờ hệ thống trả về kết quả.
8: Kiểm tra danh sách thuốc sau khi tìm kiếm.</t>
  </si>
  <si>
    <t>Hệ thống hiển thị Franrogyl nếu thuốc thuộc danh mục Thuốc răng hàm mặt.
Không xuất hiện thuốc sai điều kiện danh mục.
Trang không phát sinh lỗi trong quá trình lọc và tìm kiếm.</t>
  </si>
  <si>
    <t>TCDrugCategory6</t>
  </si>
  <si>
    <t>5. Kiểm tra thêm thuốc</t>
  </si>
  <si>
    <t>TC-DRUG-CATEGORY-007</t>
  </si>
  <si>
    <t>Kiểm tra Admin có thể thêm mới thuốc khi nhập đầy đủ các thông tin hợp lệ.</t>
  </si>
  <si>
    <t>1: Đăng nhập hệ thống bằng tài khoản Admin hợp lệ.
2: Mở trang Quản lý kho dược phẩm.
3: Nhấn nút Thêm thuốc.
4: Chọn danh mục và nhập đầy đủ thông tin của thuốc.
5: Nhập Giá, Số lượng tồn và Số lượng tối thiểu hợp lệ.
6: Chọn Ngày sản xuất và Hạn sử dụng hợp lệ.
7: Nhấn nút Thêm thuốc.
8: Kiểm tra thông báo thêm thuốc thành công.
9: Tìm thuốc vừa thêm trong danh sách và kiểm tra thông tin hiển thị.</t>
  </si>
  <si>
    <t>Hệ thống chấp nhận dữ liệu hợp lệ và thêm thuốc thành công.
Hiển thị thông báo thêm thuốc thành công.
Thuốc mới xuất hiện trong danh sách với thông tin đúng như đã nhập.</t>
  </si>
  <si>
    <t>TCDrugCategory7_1, TCDrugCategory7_2</t>
  </si>
  <si>
    <t>Hệ thống thực hiện thêm thuốc thành công với dữ liệu hợp lệ.</t>
  </si>
  <si>
    <t>TC-DRUG-CATEGORY-008</t>
  </si>
  <si>
    <t>Kiểm tra hệ thống không cho phép Admin thêm thuốc khi bỏ trống trường thông tin bắt buộc.</t>
  </si>
  <si>
    <t>1: Đăng nhập hệ thống bằng tài khoản Admin hợp lệ.
2: Mở trang Quản lý kho dược phẩm.
3: Nhấn nút Thêm thuốc.
4: Để trống một trường bắt buộc, ví dụ Tên thuốc.
5: Nhập đầy đủ và hợp lệ các trường bắt buộc còn lại.
6: Nhấn nút Thêm thuốc.
7: Kiểm tra hệ thống xác định và đưa focus về trường Tên thuốc bị bỏ trống.
8: Kiểm tra thuốc không được tạo mới trong danh sách.</t>
  </si>
  <si>
    <t>Hệ thống không cho phép thêm thuốc khi thiếu thông tin bắt buộc.
Hệ thống xác định trường Tên thuốc chưa được nhập và đưa focus về trường này.
Thuốc không được tạo mới trong hệ thống.</t>
  </si>
  <si>
    <t>TCDrugCategory8_1, TCDrugCategory8_2</t>
  </si>
  <si>
    <t>Hệ thống thực hiện đúng nghiệp vụ, không thêm thuốc khi chưa nhập đủ các trường bắt buộc.</t>
  </si>
  <si>
    <t>TC-DRUG-CATEGORY-009</t>
  </si>
  <si>
    <t>Kiểm tra hệ thống không cho phép Admin thêm thuốc khi các trường dữ liệu số gồm Giá, Số lượng tồn kho hoặc Số lượng tối thiểu có giá trị âm.</t>
  </si>
  <si>
    <t>1: Đăng nhập hệ thống bằng tài khoản Admin hợp lệ.
2: Mở trang Quản lý kho dược phẩm và chọn + Thêm thuốc.
3: Nhập đầy đủ các thông tin hợp lệ cho thuốc.
4: Nhập giá trị âm -12000 vào trường Giá và nhấn Thêm thuốc.
5: Kiểm tra hệ thống không cho phép gửi form và hiển thị cảnh báo tại trường Giá.
6: Sửa Giá về giá trị hợp lệ, sau đó nhập -107 vào Số lượng tồn kho và nhấn Thêm thuốc.
7: Kiểm tra hệ thống tiếp tục chặn và cảnh báo tại trường Số lượng tồn kho.
8: Sửa Số lượng tồn kho về giá trị hợp lệ, nhập -20 vào Số lượng tối thiểu và nhấn Thêm thuốc.
9: Kiểm tra hệ thống chặn thao tác và cảnh báo tại trường Số lượng tối thiểu.
10: Kiểm tra thuốc không được thêm mới khi tồn tại bất kỳ giá trị âm nào.</t>
  </si>
  <si>
    <t>Hệ thống không cho phép thêm thuốc khi Giá, Số lượng tồn kho hoặc Số lượng tối thiểu có giá trị nhỏ hơn 0.</t>
  </si>
  <si>
    <t>TCDrugCategory9_1, TCDrugCategory9_2, TCDrugCategory9_3</t>
  </si>
  <si>
    <t>Hệ thống thực hiện đúng nghiệp vụ, không thêm thuốc khi các trường số liệu nhập giá trị âm.</t>
  </si>
  <si>
    <t>TC-DRUG-CATEGORY-010</t>
  </si>
  <si>
    <t>Kiểm tra hệ thống không cho phép Admin thêm thuốc khi hạn sử dụng trước ngày sản xuất.</t>
  </si>
  <si>
    <t>1: Đăng nhập hệ thống bằng tài khoản Admin hợp lệ.
2: Mở trang Quản lý kho dược phẩm.
3: Nhấn nút Thêm thuốc.
4: Nhập đầy đủ các thông tin hợp lệ của thuốc.
5: Chọn Ngày sản xuất là 20/08/2025.
6: Chọn Hạn sử dụng là 19/08/2025.
7: Nhấn nút Thêm thuốc.
8: Kiểm tra thông báo validation về ngày.
9: Kiểm tra thuốc không được tạo mới trong danh sách.</t>
  </si>
  <si>
    <t>Hệ thống xác định hạn sử dụng trước ngày sản xuất là không hợp lệ.
Hệ thống không cho phép thêm thuốc và hiển thị thông báo validation phù hợp.
Thuốc không được tạo mới trong hệ thống.</t>
  </si>
  <si>
    <t>TCDrugCategory10_1, TCDrugCategory10_2</t>
  </si>
  <si>
    <t>Hệ thống vẫn cho phép thêm thuốc khi Hạn sử dụng nhỏ hơn Ngày sản xuất. Chưa có validation kiểm tra mối quan hệ giữa Ngày sản xuất và Hạn sử dụng.</t>
  </si>
  <si>
    <t>6. Kiểm tra chức năng xóa thuốc</t>
  </si>
  <si>
    <t>TC-DRUG-CATEGORY-011</t>
  </si>
  <si>
    <t>Kiểm tra Admin có thể xóa một thuốc đang tồn tại khỏi danh sách Quản lý kho dược phẩm.</t>
  </si>
  <si>
    <t>1: Đăng nhập hệ thống bằng tài khoản Admin hợp lệ.
2: Mở trang Quản lý kho dược phẩm.
3: Xác định thuốc cần xóa trong danh sách.
4: Ghi nhận tên thuốc trước khi thực hiện xóa.
5: Nhấn nút Xóa tại dòng của thuốc đó.
6: Nếu hệ thống hiển thị hộp thoại xác nhận, chọn Xác nhận/OK.
7: Chờ hệ thống xử lý và cập nhật lại danh sách thuốc.
8: Kiểm tra thuốc vừa xóa không còn xuất hiện trong danh sách.</t>
  </si>
  <si>
    <t>Hệ thống thực hiện xóa đúng thuốc được Admin lựa chọn.
Sau khi xóa thành công, thuốc không còn xuất hiện trong danh sách Quản lý kho dược phẩm.
Các thuốc khác trong danh sách không bị ảnh hưởng.
Hệ thống không phát sinh lỗi trong quá trình xóa.</t>
  </si>
  <si>
    <t>TCDrugCategory11_1, TCDrugCategory11_2</t>
  </si>
  <si>
    <t>Hiển thị xác nhận xóa; sau khi chọn OK, thuốc được xóa thành công và không còn xuất hiện trong danh sách.</t>
  </si>
  <si>
    <t>STAT - Statistics and Reporting</t>
  </si>
  <si>
    <t>Statistics and Reporting</t>
  </si>
  <si>
    <t>1. Kiểm tra thống kê thuốc</t>
  </si>
  <si>
    <t>TC-STAT-001</t>
  </si>
  <si>
    <t>Kiểm tra hệ thống hiển thị đúng thống kê số lượng thuốc theo từng danh mục dưới dạng biểu đồ và bảng dữ liệu.</t>
  </si>
  <si>
    <t>1: Đăng nhập hệ thống bằng tài khoản Admin hợp lệ.
2: Mở menu Quản lý Kho thuốc.
3: Truy cập trang Thống kê thuốc.
4: Kiểm tra biểu đồ Thuốc theo danh mục được hiển thị.
5: Kiểm tra bảng thống kê danh mục thuốc được hiển thị bên dưới biểu đồ.
6: Ghi nhận số lượng của một số danh mục trong bảng.
7: Đối chiếu số lượng trong bảng với giá trị tương ứng trên biểu đồ.
8: Kiểm tra các danh mục hiển thị trong bảng có dữ liệu số lượng tương ứng và không xuất hiện lỗi hiển thị.</t>
  </si>
  <si>
    <t>Trang Thống kê thuốc được mở thành công.
Biểu đồ và bảng thống kê số lượng thuốc theo danh mục được hiển thị đầy đủ.
Số liệu giữa biểu đồ và bảng tương ứng với nhau.
Không phát sinh lỗi trong quá trình hiển thị dữ liệu.</t>
  </si>
  <si>
    <t>TCStat1</t>
  </si>
  <si>
    <t>Biểu đồ và bảng thống kê thuốc hiển thị đầy đủ, số liệu tương ứng.</t>
  </si>
  <si>
    <t>2. Kiểm tra thống kê và báo cáo</t>
  </si>
  <si>
    <t>TC-STAT-002</t>
  </si>
  <si>
    <t>Kiểm tra hệ thống hiển thị đúng thống kê bệnh nhân theo giới tính, nhóm tuổi và chuyên khoa; số liệu trên biểu đồ tương ứng với bảng chi tiết.</t>
  </si>
  <si>
    <t>1: Đăng nhập hệ thống bằng tài khoản Admin hợp lệ.
2: Mở trang Thống kê và báo cáo.
3: Xác định khu vực Bệnh nhân theo giới tính.
4: Kiểm tra biểu đồ và bảng số lượng bệnh nhân theo giới tính.
5: Đối chiếu số liệu giữa biểu đồ và bảng.
6: Kiểm tra tương tự khu vực Bệnh nhân theo nhóm tuổi.
7: Đối chiếu số liệu nhóm tuổi giữa biểu đồ và bảng.
8: Di chuyển đến khu vực Bệnh nhân theo chuyên khoa.
9: Kiểm tra biểu đồ, bảng và đối chiếu số liệu tương ứng.
10: Kiểm tra các khu vực thống kê hiển thị bình thường, không phát sinh lỗi.</t>
  </si>
  <si>
    <t>Các thống kê bệnh nhân theo giới tính, nhóm tuổi và chuyên khoa được hiển thị thành công.
Biểu đồ và bảng dữ liệu của từng nhóm thống kê có số liệu tương ứng.
Các nhóm dữ liệu được hiển thị đúng tên và số lượng.
Trang không phát sinh lỗi hoặc mất dữ liệu trong quá trình hiển thị.</t>
  </si>
  <si>
    <t>TCStat2_1, TCStat2_2</t>
  </si>
  <si>
    <t>Các thống kê theo giới tính, nhóm tuổi và chuyên khoa hiển thị đúng; số liệu biểu đồ khớp bảng.</t>
  </si>
  <si>
    <t>TC-STAT-003</t>
  </si>
  <si>
    <t>Kiểm tra hệ thống hiển thị đúng doanh thu đã thanh toán theo các tháng của năm được Admin lựa chọn.</t>
  </si>
  <si>
    <t>1: Đăng nhập hệ thống bằng tài khoản Admin hợp lệ.
2: Mở trang Thống kê và báo cáo.
3: Di chuyển đến khu vực Doanh thu theo tháng.
4: Nhập năm 2026 vào trường lựa chọn năm.
5: Nhấn nút Xem doanh thu.
6: Chờ hệ thống tải dữ liệu doanh thu.
7: Kiểm tra biểu đồ doanh thu theo tháng được hiển thị.
8: Kiểm tra bảng doanh thu bên dưới biểu đồ.
9: Đối chiếu tháng và mức doanh thu thể hiện trên biểu đồ với dữ liệu trong bảng.
10: Kiểm tra giá trị doanh thu được hiển thị đúng định dạng tiền tệ.</t>
  </si>
  <si>
    <t>Hệ thống chấp nhận năm hợp lệ và tải dữ liệu doanh thu tương ứng.
Biểu đồ và bảng doanh thu theo tháng được hiển thị.
Tháng và mức doanh thu trên biểu đồ phù hợp với dữ liệu trong bảng.
Doanh thu được hiển thị đúng định dạng tiền tệ.
Không phát sinh lỗi khi xem doanh thu.</t>
  </si>
  <si>
    <t>TCStat3</t>
  </si>
  <si>
    <t>Doanh thu năm 2026 hiển thị đúng; Tháng 4 có doanh thu 900.000 VNĐ.</t>
  </si>
  <si>
    <t>TC-STAT-004</t>
  </si>
  <si>
    <t>Kiểm tra hệ thống hiển thị danh sách các chẩn đoán và số lượng bệnh nhân tương ứng tại khu vực Bệnh phổ biến trong cộng đồng.</t>
  </si>
  <si>
    <t>1: Đăng nhập hệ thống bằng tài khoản Admin hợp lệ.
2: Mở trang Thống kê và báo cáo.
3: Di chuyển đến khu vực Bệnh phổ biến trong cộng đồng.
4: Kiểm tra bảng thống kê được hiển thị.
5: Kiểm tra cột Chẩn đoán được hiển thị.
6: Kiểm tra cột Số lượng bệnh nhân được hiển thị.
7: Kiểm tra các dòng dữ liệu có tên chẩn đoán và số lượng tương ứng.
8: Cuộn trong bảng nếu danh sách có nhiều dữ liệu.
9: Kiểm tra hệ thống vẫn hiển thị dữ liệu ổn định khi cuộn danh sách.</t>
  </si>
  <si>
    <t>Bảng Bệnh phổ biến trong cộng đồng được hiển thị thành công.
Các cột Chẩn đoán và Số lượng bệnh nhân được hiển thị đầy đủ.
Mỗi dòng có dữ liệu chẩn đoán và số lượng bệnh nhân tương ứng.
Danh sách có thể cuộn và không phát sinh lỗi hiển thị.</t>
  </si>
  <si>
    <t>TCStat4</t>
  </si>
  <si>
    <t>Bảng bệnh phổ biến hiển thị đúng chẩn đoán và số lượng bệnh nhân, có thể cuộn danh sách.</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</si>
</sst>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d\-mmm\-yy"/>
    <numFmt numFmtId="165" formatCode="d-m"/>
  </numFmts>
  <fonts count="28">
    <font>
      <sz val="11.0"/>
      <color rgb="FF000000"/>
      <name val="MS PGothic"/>
      <scheme val="minor"/>
    </font>
    <font>
      <sz val="11.0"/>
      <color theme="1"/>
      <name val="Tahoma"/>
    </font>
    <font>
      <b/>
      <sz val="18.0"/>
      <color theme="1"/>
      <name val="Tahoma"/>
    </font>
    <font>
      <b/>
      <sz val="11.0"/>
      <color theme="1"/>
      <name val="Tahoma"/>
    </font>
    <font>
      <b/>
      <sz val="10.0"/>
      <color theme="1"/>
      <name val="Tahoma"/>
    </font>
    <font>
      <sz val="11.0"/>
      <color theme="1"/>
      <name val="Arial"/>
    </font>
    <font>
      <sz val="10.0"/>
      <color theme="1"/>
      <name val="Tahoma"/>
    </font>
    <font>
      <b/>
      <sz val="13.0"/>
      <color theme="1"/>
      <name val="Tahoma"/>
    </font>
    <font/>
    <font>
      <b/>
      <sz val="10.0"/>
      <color rgb="FF993300"/>
      <name val="Tahoma"/>
    </font>
    <font>
      <b/>
      <sz val="13.0"/>
      <color rgb="FFFFFFFF"/>
      <name val="Tahoma"/>
    </font>
    <font>
      <b/>
      <sz val="10.0"/>
      <color rgb="FFFFFFFF"/>
      <name val="Tahoma"/>
    </font>
    <font>
      <sz val="13.0"/>
      <color theme="1"/>
      <name val="Tahoma"/>
    </font>
    <font>
      <b/>
      <sz val="11.0"/>
      <color rgb="FFFFFFFF"/>
      <name val="Tahoma"/>
    </font>
    <font>
      <sz val="12.0"/>
      <color theme="1"/>
      <name val="Tahoma"/>
    </font>
    <font>
      <sz val="11.0"/>
      <color rgb="FF000000"/>
      <name val="Tahoma"/>
    </font>
    <font>
      <sz val="11.0"/>
      <color theme="1"/>
      <name val="MS PGothic"/>
    </font>
    <font>
      <u/>
      <sz val="11.0"/>
      <color rgb="FF000000"/>
      <name val="Tahoma"/>
    </font>
    <font>
      <sz val="11.0"/>
      <color rgb="FFFF0000"/>
      <name val="Tahoma"/>
    </font>
    <font>
      <b/>
      <sz val="13.0"/>
      <color rgb="FFF3F3F3"/>
      <name val="Tahoma"/>
    </font>
    <font>
      <sz val="10.0"/>
      <color theme="1"/>
      <name val="MS PGothic"/>
    </font>
    <font>
      <sz val="10.0"/>
      <color rgb="FFFFFFFF"/>
      <name val="Tahoma"/>
    </font>
    <font>
      <b/>
      <sz val="10.0"/>
      <color rgb="FF0000FF"/>
      <name val="Tahoma"/>
    </font>
    <font>
      <sz val="10.0"/>
      <color rgb="FF000000"/>
      <name val="Tahoma"/>
    </font>
    <font>
      <u/>
      <sz val="11.0"/>
      <color theme="1"/>
      <name val="Arial"/>
    </font>
    <font>
      <u/>
      <sz val="11.0"/>
      <color theme="1"/>
      <name val="Tahoma"/>
    </font>
    <font>
      <color theme="1"/>
      <name val="Arial"/>
    </font>
    <font>
      <u/>
      <sz val="11.0"/>
      <color rgb="FF000000"/>
      <name val="Tahoma"/>
    </font>
  </fonts>
  <fills count="8">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
      <patternFill patternType="solid">
        <fgColor rgb="FFEFEFEF"/>
        <bgColor rgb="FFEFEFEF"/>
      </patternFill>
    </fill>
  </fills>
  <borders count="37">
    <border/>
    <border>
      <left/>
      <right/>
      <top/>
      <bottom/>
    </border>
    <border>
      <left style="medium">
        <color rgb="FF000000"/>
      </left>
    </border>
    <border>
      <left/>
      <right/>
      <top/>
    </border>
    <border>
      <bottom style="thin">
        <color rgb="FF000000"/>
      </bottom>
    </border>
    <border>
      <right/>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hair">
        <color rgb="FF000000"/>
      </right>
      <top style="hair">
        <color rgb="FF000000"/>
      </top>
      <bottom style="hair">
        <color rgb="FF000000"/>
      </bottom>
    </border>
    <border>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thin">
        <color rgb="FF000000"/>
      </left>
      <top style="medium">
        <color rgb="FF000000"/>
      </top>
      <bottom style="thin">
        <color rgb="FF000000"/>
      </bottom>
    </border>
    <border>
      <top style="medium">
        <color rgb="FF000000"/>
      </top>
      <bottom style="thin">
        <color rgb="FF000000"/>
      </bottom>
    </border>
    <border>
      <left style="hair">
        <color rgb="FF000000"/>
      </left>
      <right style="thin">
        <color rgb="FF000000"/>
      </right>
      <top style="thin">
        <color rgb="FF000000"/>
      </top>
      <bottom style="hair">
        <color rgb="FF000000"/>
      </bottom>
    </border>
    <border>
      <left style="hair">
        <color rgb="FF000000"/>
      </left>
      <right style="thin">
        <color rgb="FF000000"/>
      </right>
      <top style="thin">
        <color rgb="FF000000"/>
      </top>
      <bottom/>
    </border>
    <border>
      <left style="hair">
        <color rgb="FF000000"/>
      </left>
      <right style="hair">
        <color rgb="FF000000"/>
      </right>
      <top style="hair">
        <color rgb="FF000000"/>
      </top>
      <bottom style="hair">
        <color rgb="FF000000"/>
      </bottom>
    </border>
    <border>
      <right style="medium">
        <color rgb="FF000000"/>
      </right>
      <top style="medium">
        <color rgb="FF000000"/>
      </top>
      <bottom style="thin">
        <color rgb="FF000000"/>
      </bottom>
    </border>
    <border>
      <left style="thin">
        <color rgb="FF000000"/>
      </left>
      <right style="thin">
        <color rgb="FF000000"/>
      </right>
    </border>
    <border>
      <left style="thin">
        <color rgb="FF000000"/>
      </lef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left style="hair">
        <color rgb="FF000000"/>
      </lef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right style="hair">
        <color rgb="FF000000"/>
      </right>
      <top style="hair">
        <color rgb="FF000000"/>
      </top>
    </border>
    <border>
      <left style="thin">
        <color rgb="FF000000"/>
      </left>
      <right style="hair">
        <color rgb="FF000000"/>
      </right>
      <top style="hair">
        <color rgb="FF000000"/>
      </top>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rder>
    <border>
      <left style="hair">
        <color rgb="FF000000"/>
      </left>
      <top style="thin">
        <color rgb="FF000000"/>
      </top>
      <bottom style="hair">
        <color rgb="FF000000"/>
      </bottom>
    </border>
    <border>
      <right style="hair">
        <color rgb="FF000000"/>
      </right>
      <top style="thin">
        <color rgb="FF000000"/>
      </top>
      <bottom style="hair">
        <color rgb="FF000000"/>
      </bottom>
    </border>
    <border>
      <left style="thin">
        <color rgb="FF000000"/>
      </left>
      <right style="hair">
        <color rgb="FF000000"/>
      </right>
      <top style="thin">
        <color rgb="FF000000"/>
      </top>
      <bottom style="thin">
        <color rgb="FF000000"/>
      </bottom>
    </border>
    <border>
      <left style="hair">
        <color rgb="FF000000"/>
      </left>
      <right style="hair">
        <color rgb="FF000000"/>
      </right>
      <top style="thin">
        <color rgb="FF000000"/>
      </top>
      <bottom style="thin">
        <color rgb="FF000000"/>
      </bottom>
    </border>
    <border>
      <left style="hair">
        <color rgb="FF000000"/>
      </left>
      <right style="thin">
        <color rgb="FF000000"/>
      </right>
      <top style="thin">
        <color rgb="FF000000"/>
      </top>
      <bottom style="thin">
        <color rgb="FF000000"/>
      </bottom>
    </border>
    <border>
      <left style="hair">
        <color rgb="FF000000"/>
      </left>
      <right style="thin">
        <color rgb="FF000000"/>
      </right>
      <top style="hair">
        <color rgb="FF000000"/>
      </top>
      <bottom style="thin">
        <color rgb="FF000000"/>
      </bottom>
    </border>
  </borders>
  <cellStyleXfs count="1">
    <xf borderId="0" fillId="0" fontId="0" numFmtId="0" applyAlignment="1" applyFont="1"/>
  </cellStyleXfs>
  <cellXfs count="140">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readingOrder="0"/>
    </xf>
    <xf borderId="0" fillId="0" fontId="2" numFmtId="0" xfId="0" applyFont="1"/>
    <xf borderId="0" fillId="2" fontId="3" numFmtId="0" xfId="0" applyAlignment="1" applyFill="1" applyFont="1">
      <alignment vertical="bottom"/>
    </xf>
    <xf borderId="0" fillId="0" fontId="4" numFmtId="0" xfId="0" applyFont="1"/>
    <xf borderId="0" fillId="2" fontId="5" numFmtId="0" xfId="0" applyAlignment="1" applyFill="1" applyFont="1">
      <alignment vertical="bottom"/>
    </xf>
    <xf borderId="1" fillId="2" fontId="1" numFmtId="0" xfId="0" applyBorder="1" applyFill="1" applyFont="1"/>
    <xf borderId="0" fillId="0" fontId="6" numFmtId="0" xfId="0" applyFont="1"/>
    <xf borderId="2" fillId="2" fontId="7" numFmtId="0" xfId="0" applyAlignment="1" applyBorder="1" applyFill="1" applyFont="1">
      <alignment horizontal="left" readingOrder="0" shrinkToFit="0" vertical="center" wrapText="1"/>
    </xf>
    <xf borderId="1" fillId="2" fontId="2" numFmtId="0" xfId="0" applyBorder="1" applyFill="1" applyFont="1"/>
    <xf borderId="0" fillId="0" fontId="5" numFmtId="0" xfId="0" applyAlignment="1" applyFont="1">
      <alignment vertical="bottom"/>
    </xf>
    <xf borderId="3" fillId="2" fontId="1" numFmtId="0" xfId="0" applyBorder="1" applyFill="1" applyFont="1"/>
    <xf borderId="0" fillId="0" fontId="6" numFmtId="164" xfId="0" applyFont="1" applyNumberFormat="1"/>
    <xf borderId="4" fillId="0" fontId="8" numFmtId="0" xfId="0" applyBorder="1" applyFont="1"/>
    <xf borderId="1" fillId="2" fontId="9" numFmtId="0" xfId="0" applyBorder="1" applyFill="1" applyFont="1"/>
    <xf borderId="5" fillId="2" fontId="1" numFmtId="0" xfId="0" applyBorder="1" applyFill="1" applyFont="1"/>
    <xf borderId="1" fillId="2" fontId="6" numFmtId="0" xfId="0" applyAlignment="1" applyBorder="1" applyFill="1" applyFont="1">
      <alignment horizontal="left" readingOrder="0"/>
    </xf>
    <xf borderId="6" fillId="2" fontId="3" numFmtId="0" xfId="0" applyAlignment="1" applyBorder="1" applyFill="1" applyFont="1">
      <alignment vertical="bottom"/>
    </xf>
    <xf borderId="0" fillId="0" fontId="6" numFmtId="0" xfId="0" applyAlignment="1" applyFont="1">
      <alignment readingOrder="0"/>
    </xf>
    <xf borderId="1" fillId="2" fontId="6" numFmtId="0" xfId="0" applyBorder="1" applyFill="1" applyFont="1"/>
    <xf borderId="7" fillId="2" fontId="1" numFmtId="0" xfId="0" applyAlignment="1" applyBorder="1" applyFill="1" applyFont="1">
      <alignment readingOrder="0" vertical="bottom"/>
    </xf>
    <xf borderId="0" fillId="0" fontId="9" numFmtId="0" xfId="0" applyAlignment="1" applyFont="1">
      <alignment readingOrder="0"/>
    </xf>
    <xf borderId="8" fillId="0" fontId="8" numFmtId="0" xfId="0" applyBorder="1" applyFont="1"/>
    <xf borderId="9" fillId="0" fontId="6" numFmtId="164" xfId="0" applyAlignment="1" applyBorder="1" applyFont="1" applyNumberFormat="1">
      <alignment horizontal="left" readingOrder="0"/>
    </xf>
    <xf borderId="10" fillId="0" fontId="8" numFmtId="0" xfId="0" applyBorder="1" applyFont="1"/>
    <xf borderId="0" fillId="0" fontId="6" numFmtId="15" xfId="0" applyAlignment="1" applyFont="1" applyNumberFormat="1">
      <alignment horizontal="left" readingOrder="0"/>
    </xf>
    <xf borderId="0" fillId="0" fontId="6" numFmtId="15" xfId="0" applyAlignment="1" applyFont="1" applyNumberFormat="1">
      <alignment horizontal="left"/>
    </xf>
    <xf borderId="7" fillId="2" fontId="1" numFmtId="0" xfId="0" applyAlignment="1" applyBorder="1" applyFill="1" applyFont="1">
      <alignment readingOrder="0" vertical="top"/>
    </xf>
    <xf borderId="11" fillId="3" fontId="10" numFmtId="0" xfId="0" applyAlignment="1" applyBorder="1" applyFill="1" applyFont="1">
      <alignment horizontal="center" readingOrder="0" vertical="center"/>
    </xf>
    <xf borderId="11" fillId="3" fontId="11" numFmtId="0" xfId="0" applyAlignment="1" applyBorder="1" applyFill="1" applyFont="1">
      <alignment horizontal="center"/>
    </xf>
    <xf borderId="12" fillId="3" fontId="10" numFmtId="0" xfId="0" applyAlignment="1" applyBorder="1" applyFill="1" applyFont="1">
      <alignment horizontal="center" readingOrder="0" vertical="center"/>
    </xf>
    <xf borderId="12" fillId="3" fontId="11" numFmtId="0" xfId="0" applyAlignment="1" applyBorder="1" applyFill="1" applyFont="1">
      <alignment horizontal="center"/>
    </xf>
    <xf borderId="13" fillId="2" fontId="6" numFmtId="0" xfId="0" applyAlignment="1" applyBorder="1" applyFill="1" applyFont="1">
      <alignment horizontal="left" readingOrder="0" shrinkToFit="0" wrapText="1"/>
    </xf>
    <xf borderId="12" fillId="3" fontId="11" numFmtId="0" xfId="0" applyAlignment="1" applyBorder="1" applyFill="1" applyFont="1">
      <alignment horizontal="center" shrinkToFit="0" wrapText="1"/>
    </xf>
    <xf borderId="14" fillId="0" fontId="8" numFmtId="0" xfId="0" applyBorder="1" applyFont="1"/>
    <xf borderId="12" fillId="3" fontId="10" numFmtId="0" xfId="0" applyAlignment="1" applyBorder="1" applyFill="1" applyFont="1">
      <alignment horizontal="center" readingOrder="0" shrinkToFit="0" vertical="center" wrapText="1"/>
    </xf>
    <xf borderId="6" fillId="2" fontId="1" numFmtId="0" xfId="0" applyAlignment="1" applyBorder="1" applyFill="1" applyFont="1">
      <alignment horizontal="right" vertical="bottom"/>
    </xf>
    <xf borderId="15" fillId="3" fontId="11" numFmtId="0" xfId="0" applyAlignment="1" applyBorder="1" applyFill="1" applyFont="1">
      <alignment horizontal="center" shrinkToFit="0" wrapText="1"/>
    </xf>
    <xf borderId="16" fillId="3" fontId="10" numFmtId="0" xfId="0" applyAlignment="1" applyBorder="1" applyFill="1" applyFont="1">
      <alignment horizontal="center" readingOrder="0" vertical="center"/>
    </xf>
    <xf borderId="6" fillId="2" fontId="1" numFmtId="0" xfId="0" applyAlignment="1" applyBorder="1" applyFill="1" applyFont="1">
      <alignment horizontal="right" readingOrder="0" vertical="bottom"/>
    </xf>
    <xf borderId="0" fillId="0" fontId="6" numFmtId="0" xfId="0" applyAlignment="1" applyFont="1">
      <alignment shrinkToFit="0" wrapText="1"/>
    </xf>
    <xf borderId="0" fillId="3" fontId="10" numFmtId="0" xfId="0" applyAlignment="1" applyFill="1" applyFont="1">
      <alignment horizontal="center" readingOrder="0" vertical="center"/>
    </xf>
    <xf borderId="6" fillId="2" fontId="1" numFmtId="0" xfId="0" applyAlignment="1" applyBorder="1" applyFill="1" applyFont="1">
      <alignment horizontal="center" vertical="bottom"/>
    </xf>
    <xf borderId="0" fillId="0" fontId="1" numFmtId="0" xfId="0" applyAlignment="1" applyFont="1">
      <alignment vertical="center"/>
    </xf>
    <xf borderId="6" fillId="2" fontId="1" numFmtId="0" xfId="0" applyAlignment="1" applyBorder="1" applyFill="1" applyFont="1">
      <alignment horizontal="center" readingOrder="0" vertical="bottom"/>
    </xf>
    <xf borderId="6" fillId="0" fontId="12" numFmtId="0" xfId="0" applyAlignment="1" applyBorder="1" applyFont="1">
      <alignment horizontal="center" readingOrder="0" vertical="center"/>
    </xf>
    <xf borderId="17" fillId="0" fontId="12" numFmtId="49" xfId="0" applyAlignment="1" applyBorder="1" applyFont="1" applyNumberFormat="1">
      <alignment horizontal="center" readingOrder="0" vertical="center"/>
    </xf>
    <xf borderId="6" fillId="0" fontId="1" numFmtId="0" xfId="0" applyAlignment="1" applyBorder="1" applyFont="1">
      <alignment horizontal="center" vertical="bottom"/>
    </xf>
    <xf borderId="9" fillId="0" fontId="6" numFmtId="0" xfId="0" applyAlignment="1" applyBorder="1" applyFont="1">
      <alignment horizontal="center" shrinkToFit="0" vertical="center" wrapText="1"/>
    </xf>
    <xf borderId="18" fillId="0" fontId="8" numFmtId="0" xfId="0" applyBorder="1" applyFont="1"/>
    <xf borderId="8" fillId="2" fontId="5" numFmtId="0" xfId="0" applyAlignment="1" applyBorder="1" applyFill="1" applyFont="1">
      <alignment vertical="bottom"/>
    </xf>
    <xf borderId="8" fillId="0" fontId="5" numFmtId="0" xfId="0" applyAlignment="1" applyBorder="1" applyFont="1">
      <alignment vertical="bottom"/>
    </xf>
    <xf borderId="4" fillId="2" fontId="5" numFmtId="0" xfId="0" applyAlignment="1" applyBorder="1" applyFill="1" applyFont="1">
      <alignment vertical="bottom"/>
    </xf>
    <xf borderId="19" fillId="4" fontId="13" numFmtId="0" xfId="0" applyAlignment="1" applyBorder="1" applyFill="1" applyFont="1">
      <alignment horizontal="center" vertical="bottom"/>
    </xf>
    <xf borderId="17" fillId="0" fontId="6" numFmtId="0" xfId="0" applyAlignment="1" applyBorder="1" applyFont="1">
      <alignment horizontal="center" readingOrder="0" shrinkToFit="0" vertical="center" wrapText="1"/>
    </xf>
    <xf borderId="19" fillId="4" fontId="13" numFmtId="0" xfId="0" applyAlignment="1" applyBorder="1" applyFill="1" applyFont="1">
      <alignment vertical="bottom"/>
    </xf>
    <xf borderId="20" fillId="4" fontId="13" numFmtId="0" xfId="0" applyAlignment="1" applyBorder="1" applyFill="1" applyFont="1">
      <alignment horizontal="center" vertical="bottom"/>
    </xf>
    <xf borderId="17" fillId="0" fontId="12" numFmtId="0" xfId="0" applyAlignment="1" applyBorder="1" applyFont="1">
      <alignment horizontal="center" readingOrder="0" vertical="center"/>
    </xf>
    <xf borderId="21" fillId="4" fontId="13" numFmtId="0" xfId="0" applyAlignment="1" applyBorder="1" applyFill="1" applyFont="1">
      <alignment horizontal="center" vertical="bottom"/>
    </xf>
    <xf borderId="17" fillId="0" fontId="12" numFmtId="1" xfId="0" applyAlignment="1" applyBorder="1" applyFont="1" applyNumberFormat="1">
      <alignment horizontal="center" vertical="center"/>
    </xf>
    <xf borderId="21" fillId="4" fontId="13" numFmtId="0" xfId="0" applyAlignment="1" applyBorder="1" applyFill="1" applyFont="1">
      <alignment horizontal="center" readingOrder="0" vertical="bottom"/>
    </xf>
    <xf borderId="11" fillId="3" fontId="11" numFmtId="0" xfId="0" applyAlignment="1" applyBorder="1" applyFill="1" applyFont="1">
      <alignment horizontal="center" readingOrder="0" vertical="center"/>
    </xf>
    <xf borderId="22" fillId="0" fontId="8" numFmtId="0" xfId="0" applyBorder="1" applyFont="1"/>
    <xf borderId="12" fillId="3" fontId="11" numFmtId="0" xfId="0" applyAlignment="1" applyBorder="1" applyFill="1" applyFont="1">
      <alignment horizontal="center" readingOrder="0" vertical="center"/>
    </xf>
    <xf borderId="23" fillId="0" fontId="8" numFmtId="0" xfId="0" applyBorder="1" applyFont="1"/>
    <xf borderId="24" fillId="0" fontId="12" numFmtId="1" xfId="0" applyAlignment="1" applyBorder="1" applyFont="1" applyNumberFormat="1">
      <alignment horizontal="center" shrinkToFit="0" vertical="center" wrapText="1"/>
    </xf>
    <xf borderId="24" fillId="0" fontId="6" numFmtId="1" xfId="0" applyAlignment="1" applyBorder="1" applyFont="1" applyNumberFormat="1">
      <alignment horizontal="center" shrinkToFit="0" vertical="center" wrapText="1"/>
    </xf>
    <xf borderId="9" fillId="0" fontId="6" numFmtId="164" xfId="0" applyAlignment="1" applyBorder="1" applyFont="1" applyNumberFormat="1">
      <alignment horizontal="center" readingOrder="0" vertical="center"/>
    </xf>
    <xf borderId="10" fillId="5" fontId="5" numFmtId="0" xfId="0" applyAlignment="1" applyBorder="1" applyFill="1" applyFont="1">
      <alignment vertical="bottom"/>
    </xf>
    <xf borderId="17" fillId="0" fontId="6" numFmtId="49" xfId="0" applyAlignment="1" applyBorder="1" applyFont="1" applyNumberFormat="1">
      <alignment horizontal="center" vertical="center"/>
    </xf>
    <xf borderId="17" fillId="0" fontId="6" numFmtId="0" xfId="0" applyAlignment="1" applyBorder="1" applyFont="1">
      <alignment horizontal="center" readingOrder="0" vertical="center"/>
    </xf>
    <xf borderId="17" fillId="0" fontId="14" numFmtId="0" xfId="0" applyAlignment="1" applyBorder="1" applyFont="1">
      <alignment horizontal="left" readingOrder="0" shrinkToFit="0" vertical="center" wrapText="1"/>
    </xf>
    <xf borderId="25" fillId="0" fontId="12" numFmtId="1" xfId="0" applyAlignment="1" applyBorder="1" applyFont="1" applyNumberFormat="1">
      <alignment horizontal="center" shrinkToFit="0" vertical="center" wrapText="1"/>
    </xf>
    <xf borderId="7" fillId="6" fontId="3" numFmtId="0" xfId="0" applyAlignment="1" applyBorder="1" applyFill="1" applyFont="1">
      <alignment readingOrder="0" vertical="bottom"/>
    </xf>
    <xf borderId="17" fillId="0" fontId="6" numFmtId="0" xfId="0" applyAlignment="1" applyBorder="1" applyFont="1">
      <alignment horizontal="center" shrinkToFit="0" vertical="center" wrapText="1"/>
    </xf>
    <xf borderId="6" fillId="0" fontId="1" numFmtId="0" xfId="0" applyAlignment="1" applyBorder="1" applyFont="1">
      <alignment readingOrder="0" vertical="top"/>
    </xf>
    <xf borderId="6" fillId="0" fontId="15" numFmtId="0" xfId="0" applyAlignment="1" applyBorder="1" applyFont="1">
      <alignment readingOrder="0" shrinkToFit="0" vertical="top" wrapText="1"/>
    </xf>
    <xf borderId="0" fillId="0" fontId="6" numFmtId="0" xfId="0" applyAlignment="1" applyFont="1">
      <alignment vertical="center"/>
    </xf>
    <xf borderId="6" fillId="0" fontId="15" numFmtId="0" xfId="0" applyAlignment="1" applyBorder="1" applyFont="1">
      <alignment horizontal="left" readingOrder="0" shrinkToFit="0" vertical="top" wrapText="1"/>
    </xf>
    <xf borderId="17" fillId="0" fontId="12" numFmtId="0" xfId="0" applyAlignment="1" applyBorder="1" applyFont="1">
      <alignment horizontal="center" vertical="center"/>
    </xf>
    <xf borderId="7" fillId="0" fontId="15" numFmtId="0" xfId="0" applyAlignment="1" applyBorder="1" applyFont="1">
      <alignment horizontal="left" readingOrder="0" shrinkToFit="0" vertical="top" wrapText="1"/>
    </xf>
    <xf borderId="25" fillId="0" fontId="6" numFmtId="1" xfId="0" applyAlignment="1" applyBorder="1" applyFont="1" applyNumberFormat="1">
      <alignment horizontal="center" shrinkToFit="0" vertical="center" wrapText="1"/>
    </xf>
    <xf borderId="0" fillId="0" fontId="16" numFmtId="0" xfId="0" applyAlignment="1" applyFont="1">
      <alignment shrinkToFit="0" wrapText="1"/>
    </xf>
    <xf borderId="17" fillId="0" fontId="12" numFmtId="1" xfId="0" applyAlignment="1" applyBorder="1" applyFont="1" applyNumberFormat="1">
      <alignment horizontal="center" shrinkToFit="0" vertical="center" wrapText="1"/>
    </xf>
    <xf borderId="6" fillId="0" fontId="17" numFmtId="0" xfId="0" applyAlignment="1" applyBorder="1" applyFont="1">
      <alignment horizontal="left" readingOrder="0" shrinkToFit="0" vertical="top" wrapText="1"/>
    </xf>
    <xf borderId="7" fillId="0" fontId="18" numFmtId="165" xfId="0" applyAlignment="1" applyBorder="1" applyFont="1" applyNumberFormat="1">
      <alignment readingOrder="0" vertical="top"/>
    </xf>
    <xf borderId="6" fillId="0" fontId="5" numFmtId="0" xfId="0" applyAlignment="1" applyBorder="1" applyFont="1">
      <alignment vertical="bottom"/>
    </xf>
    <xf borderId="6" fillId="0" fontId="5" numFmtId="0" xfId="0" applyAlignment="1" applyBorder="1" applyFont="1">
      <alignment vertical="top"/>
    </xf>
    <xf borderId="26" fillId="0" fontId="6" numFmtId="0" xfId="0" applyAlignment="1" applyBorder="1" applyFont="1">
      <alignment horizontal="center" readingOrder="0" vertical="center"/>
    </xf>
    <xf borderId="27" fillId="0" fontId="6" numFmtId="164" xfId="0" applyAlignment="1" applyBorder="1" applyFont="1" applyNumberFormat="1">
      <alignment horizontal="center" readingOrder="0" vertical="center"/>
    </xf>
    <xf borderId="28" fillId="0" fontId="6" numFmtId="164" xfId="0" applyAlignment="1" applyBorder="1" applyFont="1" applyNumberFormat="1">
      <alignment horizontal="center" readingOrder="0" vertical="center"/>
    </xf>
    <xf borderId="29" fillId="0" fontId="6" numFmtId="49" xfId="0" applyAlignment="1" applyBorder="1" applyFont="1" applyNumberFormat="1">
      <alignment horizontal="center" readingOrder="0" vertical="center"/>
    </xf>
    <xf borderId="29" fillId="0" fontId="6" numFmtId="0" xfId="0" applyAlignment="1" applyBorder="1" applyFont="1">
      <alignment horizontal="center" readingOrder="0" vertical="center"/>
    </xf>
    <xf borderId="0" fillId="0" fontId="1" numFmtId="0" xfId="0" applyAlignment="1" applyFont="1">
      <alignment horizontal="center" vertical="center"/>
    </xf>
    <xf borderId="25" fillId="0" fontId="12" numFmtId="1" xfId="0" applyAlignment="1" applyBorder="1" applyFont="1" applyNumberFormat="1">
      <alignment horizontal="center" vertical="center"/>
    </xf>
    <xf borderId="26" fillId="0" fontId="12" numFmtId="0" xfId="0" applyAlignment="1" applyBorder="1" applyFont="1">
      <alignment horizontal="center" vertical="center"/>
    </xf>
    <xf borderId="26" fillId="0" fontId="12" numFmtId="1" xfId="0" applyAlignment="1" applyBorder="1" applyFont="1" applyNumberFormat="1">
      <alignment horizontal="center" vertical="center"/>
    </xf>
    <xf borderId="30" fillId="0" fontId="12" numFmtId="1" xfId="0" applyAlignment="1" applyBorder="1" applyFont="1" applyNumberFormat="1">
      <alignment horizontal="center" vertical="center"/>
    </xf>
    <xf borderId="31" fillId="3" fontId="10" numFmtId="0" xfId="0" applyAlignment="1" applyBorder="1" applyFill="1" applyFont="1">
      <alignment horizontal="center" readingOrder="0" vertical="center"/>
    </xf>
    <xf borderId="32" fillId="0" fontId="8" numFmtId="0" xfId="0" applyBorder="1" applyFont="1"/>
    <xf borderId="33" fillId="3" fontId="19" numFmtId="0" xfId="0" applyAlignment="1" applyBorder="1" applyFill="1" applyFont="1">
      <alignment horizontal="center" vertical="center"/>
    </xf>
    <xf borderId="34" fillId="3" fontId="19" numFmtId="1" xfId="0" applyAlignment="1" applyBorder="1" applyFill="1" applyFont="1" applyNumberFormat="1">
      <alignment horizontal="center" vertical="center"/>
    </xf>
    <xf borderId="35" fillId="3" fontId="19" numFmtId="1" xfId="0" applyAlignment="1" applyBorder="1" applyFill="1" applyFont="1" applyNumberFormat="1">
      <alignment horizontal="center" vertical="center"/>
    </xf>
    <xf borderId="0" fillId="0" fontId="1" numFmtId="0" xfId="0" applyAlignment="1" applyFont="1">
      <alignment horizontal="center" readingOrder="0" vertical="center"/>
    </xf>
    <xf borderId="0" fillId="0" fontId="6" numFmtId="49" xfId="0" applyAlignment="1" applyFont="1" applyNumberFormat="1">
      <alignment vertical="center"/>
    </xf>
    <xf borderId="17" fillId="0" fontId="6" numFmtId="0" xfId="0" applyAlignment="1" applyBorder="1" applyFont="1">
      <alignment horizontal="center" vertical="center"/>
    </xf>
    <xf borderId="17" fillId="0" fontId="20" numFmtId="0" xfId="0" applyAlignment="1" applyBorder="1" applyFont="1">
      <alignment horizontal="center"/>
    </xf>
    <xf borderId="17" fillId="0" fontId="6" numFmtId="0" xfId="0" applyAlignment="1" applyBorder="1" applyFont="1">
      <alignment horizontal="center"/>
    </xf>
    <xf borderId="25" fillId="0" fontId="6" numFmtId="0" xfId="0" applyAlignment="1" applyBorder="1" applyFont="1">
      <alignment horizontal="center"/>
    </xf>
    <xf borderId="26" fillId="0" fontId="6" numFmtId="0" xfId="0" applyAlignment="1" applyBorder="1" applyFont="1">
      <alignment horizontal="center" vertical="center"/>
    </xf>
    <xf borderId="26" fillId="0" fontId="20" numFmtId="0" xfId="0" applyAlignment="1" applyBorder="1" applyFont="1">
      <alignment horizontal="center"/>
    </xf>
    <xf borderId="26" fillId="0" fontId="6" numFmtId="0" xfId="0" applyAlignment="1" applyBorder="1" applyFont="1">
      <alignment horizontal="center"/>
    </xf>
    <xf borderId="30" fillId="0" fontId="6" numFmtId="0" xfId="0" applyAlignment="1" applyBorder="1" applyFont="1">
      <alignment horizontal="center"/>
    </xf>
    <xf borderId="28" fillId="3" fontId="21" numFmtId="0" xfId="0" applyAlignment="1" applyBorder="1" applyFill="1" applyFont="1">
      <alignment horizontal="center"/>
    </xf>
    <xf borderId="29" fillId="3" fontId="11" numFmtId="0" xfId="0" applyBorder="1" applyFill="1" applyFont="1"/>
    <xf borderId="29" fillId="3" fontId="21" numFmtId="1" xfId="0" applyAlignment="1" applyBorder="1" applyFill="1" applyFont="1" applyNumberFormat="1">
      <alignment horizontal="center"/>
    </xf>
    <xf borderId="29" fillId="3" fontId="21" numFmtId="0" xfId="0" applyAlignment="1" applyBorder="1" applyFill="1" applyFont="1">
      <alignment horizontal="center"/>
    </xf>
    <xf borderId="29" fillId="3" fontId="21" numFmtId="0" xfId="0" applyAlignment="1" applyBorder="1" applyFill="1" applyFont="1">
      <alignment horizontal="center" readingOrder="0"/>
    </xf>
    <xf borderId="36" fillId="3" fontId="21" numFmtId="1" xfId="0" applyAlignment="1" applyBorder="1" applyFill="1" applyFont="1" applyNumberFormat="1">
      <alignment horizontal="center"/>
    </xf>
    <xf borderId="0" fillId="0" fontId="6" numFmtId="0" xfId="0" applyAlignment="1" applyFont="1">
      <alignment horizontal="center"/>
    </xf>
    <xf borderId="0" fillId="0" fontId="6" numFmtId="10" xfId="0" applyAlignment="1" applyFont="1" applyNumberFormat="1">
      <alignment horizontal="center"/>
    </xf>
    <xf borderId="0" fillId="0" fontId="6" numFmtId="9" xfId="0" applyAlignment="1" applyFont="1" applyNumberFormat="1">
      <alignment horizontal="center"/>
    </xf>
    <xf borderId="0" fillId="0" fontId="22" numFmtId="2" xfId="0" applyAlignment="1" applyFont="1" applyNumberFormat="1">
      <alignment horizontal="right" shrinkToFit="0" wrapText="1"/>
    </xf>
    <xf borderId="0" fillId="0" fontId="23" numFmtId="0" xfId="0" applyAlignment="1" applyFont="1">
      <alignment horizontal="center" shrinkToFit="0" wrapText="1"/>
    </xf>
    <xf borderId="6" fillId="0" fontId="24" numFmtId="0" xfId="0" applyAlignment="1" applyBorder="1" applyFont="1">
      <alignment readingOrder="0" vertical="top"/>
    </xf>
    <xf borderId="6" fillId="0" fontId="5" numFmtId="0" xfId="0" applyAlignment="1" applyBorder="1" applyFont="1">
      <alignment readingOrder="0" vertical="top"/>
    </xf>
    <xf borderId="0" fillId="0" fontId="15" numFmtId="0" xfId="0" applyAlignment="1" applyFont="1">
      <alignment horizontal="left" readingOrder="0" shrinkToFit="0" vertical="top" wrapText="1"/>
    </xf>
    <xf borderId="0" fillId="0" fontId="5" numFmtId="0" xfId="0" applyAlignment="1" applyFont="1">
      <alignment vertical="top"/>
    </xf>
    <xf borderId="6" fillId="0" fontId="25" numFmtId="0" xfId="0" applyAlignment="1" applyBorder="1" applyFont="1">
      <alignment horizontal="left" readingOrder="0" shrinkToFit="0" vertical="top" wrapText="1"/>
    </xf>
    <xf borderId="0" fillId="0" fontId="1" numFmtId="0" xfId="0" applyAlignment="1" applyFont="1">
      <alignment readingOrder="0" vertical="top"/>
    </xf>
    <xf borderId="0" fillId="0" fontId="15" numFmtId="0" xfId="0" applyAlignment="1" applyFont="1">
      <alignment readingOrder="0" shrinkToFit="0" vertical="top" wrapText="1"/>
    </xf>
    <xf borderId="0" fillId="0" fontId="18" numFmtId="165" xfId="0" applyAlignment="1" applyFont="1" applyNumberFormat="1">
      <alignment readingOrder="0" vertical="top"/>
    </xf>
    <xf borderId="0" fillId="0" fontId="5" numFmtId="0" xfId="0" applyAlignment="1" applyFont="1">
      <alignment readingOrder="0" vertical="top"/>
    </xf>
    <xf borderId="0" fillId="0" fontId="26" numFmtId="0" xfId="0" applyAlignment="1" applyFont="1">
      <alignment vertical="bottom"/>
    </xf>
    <xf borderId="0" fillId="7" fontId="3" numFmtId="0" xfId="0" applyAlignment="1" applyFill="1" applyFont="1">
      <alignment readingOrder="0" vertical="bottom"/>
    </xf>
    <xf borderId="7" fillId="0" fontId="5" numFmtId="0" xfId="0" applyAlignment="1" applyBorder="1" applyFont="1">
      <alignment vertical="bottom"/>
    </xf>
    <xf borderId="0" fillId="2" fontId="3" numFmtId="0" xfId="0" applyAlignment="1" applyFill="1" applyFont="1">
      <alignment readingOrder="0" vertical="bottom"/>
    </xf>
    <xf borderId="6" fillId="0" fontId="27" numFmtId="0" xfId="0" applyAlignment="1" applyBorder="1" applyFont="1">
      <alignment horizontal="left" readingOrder="0" shrinkToFit="0" vertical="top" wrapText="1"/>
    </xf>
    <xf borderId="7" fillId="0" fontId="18" numFmtId="0" xfId="0" applyAlignment="1" applyBorder="1" applyFon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1" Type="http://schemas.openxmlformats.org/officeDocument/2006/relationships/worksheet" Target="worksheets/sheet1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1457uFFnuaN8qYz22xJ_8tZkmW7vrosm/view?usp=sharing" TargetMode="External"/><Relationship Id="rId2" Type="http://schemas.openxmlformats.org/officeDocument/2006/relationships/hyperlink" Target="https://drive.google.com/file/d/1Pf6FdlkbWuNHIuXwYsyV3xqYwB60TEn2/view?usp=sharing" TargetMode="External"/><Relationship Id="rId3" Type="http://schemas.openxmlformats.org/officeDocument/2006/relationships/hyperlink" Target="https://drive.google.com/file/d/1mcRVY6nsT1VAChhIh0OhXD80GgVYBc4p/view?usp=sharing" TargetMode="External"/><Relationship Id="rId4" Type="http://schemas.openxmlformats.org/officeDocument/2006/relationships/hyperlink" Target="https://drive.google.com/file/d/1-fa-HOpkZxzj7tRjgqGYH160zYgCTWdi/view?usp=sharing" TargetMode="External"/><Relationship Id="rId11" Type="http://schemas.openxmlformats.org/officeDocument/2006/relationships/hyperlink" Target="https://drive.google.com/file/d/1O5hIvYFIxITlW18GheN9H9yEm0wKqPXW/view?usp=sharing" TargetMode="External"/><Relationship Id="rId10" Type="http://schemas.openxmlformats.org/officeDocument/2006/relationships/hyperlink" Target="https://drive.google.com/file/d/1zMnP_sjTQXsxmtO99yC-0B8camGD2eEM/view?usp=sharing" TargetMode="External"/><Relationship Id="rId12" Type="http://schemas.openxmlformats.org/officeDocument/2006/relationships/drawing" Target="../drawings/drawing4.xml"/><Relationship Id="rId9" Type="http://schemas.openxmlformats.org/officeDocument/2006/relationships/hyperlink" Target="https://drive.google.com/file/d/11yM9S2ACRuw0U1xcj4Vj8n55g-n40J4x/view?usp=sharing" TargetMode="External"/><Relationship Id="rId5" Type="http://schemas.openxmlformats.org/officeDocument/2006/relationships/hyperlink" Target="https://drive.google.com/file/d/1GwlkqsiXOgZFxi5PPi6Jd3cwleMzxvh5/view?usp=sharing" TargetMode="External"/><Relationship Id="rId6" Type="http://schemas.openxmlformats.org/officeDocument/2006/relationships/hyperlink" Target="https://drive.google.com/file/d/1FzjKMtWSPam7uO3jwhTze7mpsxueY_o4/view?usp=sharing" TargetMode="External"/><Relationship Id="rId7" Type="http://schemas.openxmlformats.org/officeDocument/2006/relationships/hyperlink" Target="https://drive.google.com/file/d/1Iv1ER5RwIihxx18hVxtkpNhNZzOklHSD/view?usp=sharing" TargetMode="External"/><Relationship Id="rId8" Type="http://schemas.openxmlformats.org/officeDocument/2006/relationships/hyperlink" Target="https://drive.google.com/file/d/1O-QxqWVVeVEYl53js6edclUbYEIi8Gu0/view?usp=sharing"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rive.google.com/file/d/1Kf81Ayh-BhbyNGepM6Z8UkSjcnLSK55N/view?usp=sharing" TargetMode="External"/><Relationship Id="rId22" Type="http://schemas.openxmlformats.org/officeDocument/2006/relationships/hyperlink" Target="https://drive.google.com/file/d/16QSbbulWgmy9XLJu5yCxTqibX2saSkgc/view?usp=sharing" TargetMode="External"/><Relationship Id="rId21" Type="http://schemas.openxmlformats.org/officeDocument/2006/relationships/hyperlink" Target="https://drive.google.com/file/d/1uxPErgSIwl2PyW925a9JK77XVcapoye3/view?usp=sharing" TargetMode="External"/><Relationship Id="rId24" Type="http://schemas.openxmlformats.org/officeDocument/2006/relationships/hyperlink" Target="https://drive.google.com/file/d/1vQ3kGhE8k-NELfmMzH4UyJARzeEFZKV4/view?usp=sharing" TargetMode="External"/><Relationship Id="rId23" Type="http://schemas.openxmlformats.org/officeDocument/2006/relationships/hyperlink" Target="https://drive.google.com/file/d/1gimvOIx7X-Rhw57Qj3NS6B6ea7BNCh3q/view?usp=sharing" TargetMode="External"/><Relationship Id="rId1" Type="http://schemas.openxmlformats.org/officeDocument/2006/relationships/hyperlink" Target="https://drive.google.com/file/d/1pCwkHe1eq8-YYXDC4dbXhEfLzUVrytVs/view?usp=sharing" TargetMode="External"/><Relationship Id="rId2" Type="http://schemas.openxmlformats.org/officeDocument/2006/relationships/hyperlink" Target="https://drive.google.com/file/d/1L72exKZkuJnaNWwbgH_9fG1pP-QMaLAG/view?usp=sharing" TargetMode="External"/><Relationship Id="rId3" Type="http://schemas.openxmlformats.org/officeDocument/2006/relationships/hyperlink" Target="https://drive.google.com/file/d/19ZiBXsX0vpBdx6nVkDq4qHXpn4uC4u--/view?usp=sharing" TargetMode="External"/><Relationship Id="rId4" Type="http://schemas.openxmlformats.org/officeDocument/2006/relationships/hyperlink" Target="https://drive.google.com/file/d/13Es7CNI0XPneSpccEh9gfou0gollJwbr/view?usp=sharing" TargetMode="External"/><Relationship Id="rId9" Type="http://schemas.openxmlformats.org/officeDocument/2006/relationships/hyperlink" Target="https://drive.google.com/file/d/19Etd-l6ymrEAmcevXie5v1LAUlBbfYmD/view?usp=sharing" TargetMode="External"/><Relationship Id="rId26" Type="http://schemas.openxmlformats.org/officeDocument/2006/relationships/hyperlink" Target="https://drive.google.com/file/d/1Azy6wzQI1_QEsVqItftQVy8C7lnz_N32/view?usp=sharing" TargetMode="External"/><Relationship Id="rId25" Type="http://schemas.openxmlformats.org/officeDocument/2006/relationships/hyperlink" Target="https://drive.google.com/file/d/1m5Ra8QvRi-DWdzbyyJX_o4sTQ-DOFKTx/view?usp=sharing" TargetMode="External"/><Relationship Id="rId28" Type="http://schemas.openxmlformats.org/officeDocument/2006/relationships/drawing" Target="../drawings/drawing5.xml"/><Relationship Id="rId27" Type="http://schemas.openxmlformats.org/officeDocument/2006/relationships/hyperlink" Target="https://drive.google.com/file/d/1KPasyioO63Fi2ECZgpcn88I1_W17k41T/view?usp=sharing" TargetMode="External"/><Relationship Id="rId5" Type="http://schemas.openxmlformats.org/officeDocument/2006/relationships/hyperlink" Target="https://drive.google.com/file/d/1RbIJ3MJrctSG6OfqS4EdxbBgbG3jKC4s/view?usp=sharing" TargetMode="External"/><Relationship Id="rId6" Type="http://schemas.openxmlformats.org/officeDocument/2006/relationships/hyperlink" Target="https://drive.google.com/file/d/1151gMXi-N2kz_7e6Ov_zjYA14Jm4-8rj/view?usp=sharing" TargetMode="External"/><Relationship Id="rId7" Type="http://schemas.openxmlformats.org/officeDocument/2006/relationships/hyperlink" Target="https://drive.google.com/file/d/1ldmx0d2pun6Fq2p3FBKyL0Mlcq6imF5j/view?usp=sharing" TargetMode="External"/><Relationship Id="rId8" Type="http://schemas.openxmlformats.org/officeDocument/2006/relationships/hyperlink" Target="https://drive.google.com/file/d/1q3fPvUA-d1wcoT2GkjiavE79xO8rUPjB/view?usp=sharing" TargetMode="External"/><Relationship Id="rId11" Type="http://schemas.openxmlformats.org/officeDocument/2006/relationships/hyperlink" Target="https://drive.google.com/file/d/1sIxsBfCfI8xlrQe9fibF6OwfbRfDoPZc/view?usp=sharing" TargetMode="External"/><Relationship Id="rId10" Type="http://schemas.openxmlformats.org/officeDocument/2006/relationships/hyperlink" Target="https://drive.google.com/file/d/1JCBQuoBJ_ofi-LBhMhz91-TAx5crfx2c/view?usp=sharing" TargetMode="External"/><Relationship Id="rId13" Type="http://schemas.openxmlformats.org/officeDocument/2006/relationships/hyperlink" Target="https://drive.google.com/file/d/1dEweyLBk1LvlsWLuXhweXEVNuscVzF3G/view?usp=sharing" TargetMode="External"/><Relationship Id="rId12" Type="http://schemas.openxmlformats.org/officeDocument/2006/relationships/hyperlink" Target="https://drive.google.com/file/d/1C5cAs53ikVksddPFc0-H5SDLdIPAfHP-/view?usp=sharing" TargetMode="External"/><Relationship Id="rId15" Type="http://schemas.openxmlformats.org/officeDocument/2006/relationships/hyperlink" Target="https://drive.google.com/file/d/1DkRxAReJDMAY-oFknXs7gcbNLVVw0Fic/view?usp=sharing" TargetMode="External"/><Relationship Id="rId14" Type="http://schemas.openxmlformats.org/officeDocument/2006/relationships/hyperlink" Target="https://drive.google.com/file/d/1BxRkG71QM9f96yec3V8gfcz9AYIMtIya/view?usp=sharing" TargetMode="External"/><Relationship Id="rId17" Type="http://schemas.openxmlformats.org/officeDocument/2006/relationships/hyperlink" Target="https://drive.google.com/file/d/1DOgbmpGvTWjpojy40uqBMQpmayZcJg7n/view?usp=sharing" TargetMode="External"/><Relationship Id="rId16" Type="http://schemas.openxmlformats.org/officeDocument/2006/relationships/hyperlink" Target="https://drive.google.com/file/d/15Lb1hPZPR8P0cVDvcZTRlgYg62rSoYFv/view?usp=sharing" TargetMode="External"/><Relationship Id="rId19" Type="http://schemas.openxmlformats.org/officeDocument/2006/relationships/hyperlink" Target="https://drive.google.com/file/d/1-quoaLT_3brvFXVZTWjiHHyBeWMgZiis/view?usp=sharing" TargetMode="External"/><Relationship Id="rId18" Type="http://schemas.openxmlformats.org/officeDocument/2006/relationships/hyperlink" Target="https://drive.google.com/file/d/1usVNCOQ_TwGjwlJB9AMNDqaCoiJMK-us/view?usp=sharing"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H2u9TMQxRaV8SMWA1md44TrPIEE2iOjX/view?usp=sharing" TargetMode="External"/><Relationship Id="rId2" Type="http://schemas.openxmlformats.org/officeDocument/2006/relationships/hyperlink" Target="https://drive.google.com/file/d/10kZ7aV531gE3PQjs1KUO6LTOQJn_i6Xt/view?usp=sharing" TargetMode="External"/><Relationship Id="rId3" Type="http://schemas.openxmlformats.org/officeDocument/2006/relationships/hyperlink" Target="https://drive.google.com/file/d/1bigBCjWF-UCvSlCrlZXtDxMF_BxN-S-y/view?usp=sharing" TargetMode="External"/><Relationship Id="rId4" Type="http://schemas.openxmlformats.org/officeDocument/2006/relationships/hyperlink" Target="https://drive.google.com/file/d/1bawJNyxBMY20H39T0dQOS0EBNDImlApV/view?usp=sharing" TargetMode="External"/><Relationship Id="rId9" Type="http://schemas.openxmlformats.org/officeDocument/2006/relationships/hyperlink" Target="https://drive.google.com/file/d/1KssTjeftf-tPYVvSSl3lmTy13Ti9qslv/view?usp=sharing" TargetMode="External"/><Relationship Id="rId5" Type="http://schemas.openxmlformats.org/officeDocument/2006/relationships/hyperlink" Target="https://drive.google.com/file/d/1J4aZ9-5Upl9x2RrC0aMfMl3fSeUCbakX/view?usp=sharing" TargetMode="External"/><Relationship Id="rId6" Type="http://schemas.openxmlformats.org/officeDocument/2006/relationships/hyperlink" Target="https://drive.google.com/file/d/1X_34mNc0qz1CzaW9R8j0wbrgZcxGrUk9/view?usp=sharing" TargetMode="External"/><Relationship Id="rId7" Type="http://schemas.openxmlformats.org/officeDocument/2006/relationships/hyperlink" Target="https://drive.google.com/file/d/1Ujku9khtthiaq0rWOG2ex_bMX_c9z3Ly/view?usp=sharing" TargetMode="External"/><Relationship Id="rId8" Type="http://schemas.openxmlformats.org/officeDocument/2006/relationships/hyperlink" Target="https://drive.google.com/file/d/1J0hKP8zrWo-Fl8w1dQaZBb-3c5QvLRW7/view?usp=sharing" TargetMode="External"/><Relationship Id="rId11" Type="http://schemas.openxmlformats.org/officeDocument/2006/relationships/drawing" Target="../drawings/drawing6.xml"/><Relationship Id="rId10" Type="http://schemas.openxmlformats.org/officeDocument/2006/relationships/hyperlink" Target="https://drive.google.com/file/d/14hmvrJroBlhIY1K_uIh-UsjI8Uuhhw9j/view?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rive.google.com/file/d/1UCOVicNVv6WBNCIv7yPaRVFK40IkBDmt/view?usp=sharing" TargetMode="External"/><Relationship Id="rId2" Type="http://schemas.openxmlformats.org/officeDocument/2006/relationships/hyperlink" Target="https://drive.google.com/file/d/1hDIulYFXkUQ1E5x-DxuYBw2227ylww9B/view?usp=sharing" TargetMode="External"/><Relationship Id="rId3" Type="http://schemas.openxmlformats.org/officeDocument/2006/relationships/hyperlink" Target="https://drive.google.com/file/d/1WF4PVG1Ms6dmpvcS4-NKyNZZFScvrgYr/view?usp=sharing" TargetMode="External"/><Relationship Id="rId4" Type="http://schemas.openxmlformats.org/officeDocument/2006/relationships/hyperlink" Target="https://drive.google.com/file/d/1UaSovRqYghA2ORYIocjNAden5M5NaTQg/view?usp=sharing" TargetMode="External"/><Relationship Id="rId9" Type="http://schemas.openxmlformats.org/officeDocument/2006/relationships/hyperlink" Target="https://drive.google.com/file/d/1C6jq4_8GJUet5OJFAlxy9Ny-wrpZ3jra/view?usp=sharing" TargetMode="External"/><Relationship Id="rId5" Type="http://schemas.openxmlformats.org/officeDocument/2006/relationships/hyperlink" Target="https://drive.google.com/file/d/11nMgFfeEzfnJTiQRhru0AqhqwZx_WNNy/view?usp=sharing" TargetMode="External"/><Relationship Id="rId6" Type="http://schemas.openxmlformats.org/officeDocument/2006/relationships/hyperlink" Target="https://drive.google.com/file/d/1uKpyvMv70w51RL2uahXcUT4AP07sDP73/view?usp=sharing" TargetMode="External"/><Relationship Id="rId7" Type="http://schemas.openxmlformats.org/officeDocument/2006/relationships/hyperlink" Target="https://drive.google.com/file/d/1B5m1LqhRh7b-g_ZqRM8SX_VngK081YLm/view?usp=sharing" TargetMode="External"/><Relationship Id="rId8" Type="http://schemas.openxmlformats.org/officeDocument/2006/relationships/hyperlink" Target="https://drive.google.com/file/d/1Zz0LveoBaAeZ0WouuWw69eYqVWQnuh5D/view?usp=sharing" TargetMode="External"/><Relationship Id="rId11" Type="http://schemas.openxmlformats.org/officeDocument/2006/relationships/hyperlink" Target="https://drive.google.com/file/d/1NsD3HEHgF_6I0ub9xra8FFNlCo3iO5_M/view?usp=sharing" TargetMode="External"/><Relationship Id="rId10" Type="http://schemas.openxmlformats.org/officeDocument/2006/relationships/hyperlink" Target="https://drive.google.com/file/d/154mNchJFPys4PcnFzO7Gb5r8xIcRftRE/view?usp=sharing" TargetMode="External"/><Relationship Id="rId13" Type="http://schemas.openxmlformats.org/officeDocument/2006/relationships/drawing" Target="../drawings/drawing7.xml"/><Relationship Id="rId12" Type="http://schemas.openxmlformats.org/officeDocument/2006/relationships/hyperlink" Target="https://drive.google.com/file/d/1M7fm8vh_KYnQmzprI4xH49dZALswaxvN/view?usp=shari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rive.google.com/file/d/1mdH_7Ce0bgIj2LpVqX4mG6vw12fuHnfh/view?usp=sharing" TargetMode="External"/><Relationship Id="rId2" Type="http://schemas.openxmlformats.org/officeDocument/2006/relationships/hyperlink" Target="https://drive.google.com/file/d/1sQ3lugdXg8XbUzz43PcTlr_8MLtSvI6N/view?usp=sharing" TargetMode="External"/><Relationship Id="rId3" Type="http://schemas.openxmlformats.org/officeDocument/2006/relationships/hyperlink" Target="https://drive.google.com/file/d/195mS6PCc46RckwCDFWsXWuZYqN-wAmDB/view?usp=sharing" TargetMode="External"/><Relationship Id="rId4" Type="http://schemas.openxmlformats.org/officeDocument/2006/relationships/hyperlink" Target="https://drive.google.com/file/d/1DWXZKu-mFpuX5NgEBgI4cC0VbN63Uk-p/view?usp=sharing" TargetMode="External"/><Relationship Id="rId9" Type="http://schemas.openxmlformats.org/officeDocument/2006/relationships/hyperlink" Target="https://drive.google.com/file/d/1SUJx72cnn2D-4KC6wwZ27lKiYFElz97D/view?usp=sharing" TargetMode="External"/><Relationship Id="rId5" Type="http://schemas.openxmlformats.org/officeDocument/2006/relationships/hyperlink" Target="https://drive.google.com/file/d/1xaSdaZS9la5vbxz14GXG_6fVNDYuCUl0/view?usp=sharing" TargetMode="External"/><Relationship Id="rId6" Type="http://schemas.openxmlformats.org/officeDocument/2006/relationships/hyperlink" Target="https://drive.google.com/file/d/1nmZj2hNTdAilplKxDXXyA0dvr0OP-TOH/view?usp=sharing" TargetMode="External"/><Relationship Id="rId7" Type="http://schemas.openxmlformats.org/officeDocument/2006/relationships/hyperlink" Target="https://drive.google.com/file/d/12AXbnQfeL7IqoyxZNoFvO0Fq4SqYRTb4/view?usp=sharing" TargetMode="External"/><Relationship Id="rId8" Type="http://schemas.openxmlformats.org/officeDocument/2006/relationships/hyperlink" Target="https://drive.google.com/file/d/1QZKaRgeEL2V892cfncGTKz2B6xBE0u4R/view?usp=sharing" TargetMode="External"/><Relationship Id="rId11" Type="http://schemas.openxmlformats.org/officeDocument/2006/relationships/hyperlink" Target="https://drive.google.com/file/d/1atYrzSdiM9ZjGrMSrIeyrW2ZhNNyVntO/view?usp=sharing" TargetMode="External"/><Relationship Id="rId10" Type="http://schemas.openxmlformats.org/officeDocument/2006/relationships/hyperlink" Target="https://drive.google.com/file/d/1NjZCEI8hYdCLBO-LTzE8pAIZU0wh1_3S/view?usp=sharing" TargetMode="External"/><Relationship Id="rId1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rive.google.com/file/d/1fmKLJxTtT_jnpEizPuABODMStTa0bMlN/view?usp=sharing" TargetMode="External"/><Relationship Id="rId22" Type="http://schemas.openxmlformats.org/officeDocument/2006/relationships/hyperlink" Target="https://drive.google.com/file/d/114kT_Z23ukdF84eDPRmGtiZU-1DPYH_q/view?usp=sharing" TargetMode="External"/><Relationship Id="rId21" Type="http://schemas.openxmlformats.org/officeDocument/2006/relationships/hyperlink" Target="https://drive.google.com/file/d/1zOv7lU1DJKZAIZUhE2z-f5gyKv6tH_O5/view?usp=sharing" TargetMode="External"/><Relationship Id="rId24" Type="http://schemas.openxmlformats.org/officeDocument/2006/relationships/hyperlink" Target="https://drive.google.com/file/d/1P-fHt2kFj_QqIyO2OXxpjv48oXAAJSa6/view?usp=sharing" TargetMode="External"/><Relationship Id="rId23" Type="http://schemas.openxmlformats.org/officeDocument/2006/relationships/hyperlink" Target="https://drive.google.com/file/d/1mBGi2xAAXW5L3nVV-AOMuip2n7uOA-0O/view?usp=sharing" TargetMode="External"/><Relationship Id="rId1" Type="http://schemas.openxmlformats.org/officeDocument/2006/relationships/hyperlink" Target="https://drive.google.com/file/d/1-5dsVhK2EDU40RyfMbKQUhi_F-_-1cK9/view?usp=sharing" TargetMode="External"/><Relationship Id="rId2" Type="http://schemas.openxmlformats.org/officeDocument/2006/relationships/hyperlink" Target="https://drive.google.com/file/d/1pX16M_29qSLWOWMM3oEX0LQh8Qe-CSh2/view?usp=sharing" TargetMode="External"/><Relationship Id="rId3" Type="http://schemas.openxmlformats.org/officeDocument/2006/relationships/hyperlink" Target="https://drive.google.com/file/d/1JKX8u0ZX6zvPojOqdNRiWaMFdy36A-Ha/view?usp=sharing" TargetMode="External"/><Relationship Id="rId4" Type="http://schemas.openxmlformats.org/officeDocument/2006/relationships/hyperlink" Target="https://drive.google.com/file/d/1tCm0_uCueGCSras1JkOgZYRS5lxIfraz/view?usp=sharing" TargetMode="External"/><Relationship Id="rId9" Type="http://schemas.openxmlformats.org/officeDocument/2006/relationships/hyperlink" Target="https://drive.google.com/file/d/1sEB-8OVaK5-W1qOgLS1MDdBl_kub40JY/view?usp=sharing" TargetMode="External"/><Relationship Id="rId26" Type="http://schemas.openxmlformats.org/officeDocument/2006/relationships/hyperlink" Target="https://drive.google.com/file/d/1DiQ-P0iiFtBtHpmoZs8fLn_simGytOSQ/view?usp=sharing" TargetMode="External"/><Relationship Id="rId25" Type="http://schemas.openxmlformats.org/officeDocument/2006/relationships/hyperlink" Target="https://drive.google.com/file/d/1H74KLUxyKjIXxAVyro1olcdEHXBHEMeK/view?usp=sharing" TargetMode="External"/><Relationship Id="rId27" Type="http://schemas.openxmlformats.org/officeDocument/2006/relationships/drawing" Target="../drawings/drawing9.xml"/><Relationship Id="rId5" Type="http://schemas.openxmlformats.org/officeDocument/2006/relationships/hyperlink" Target="https://drive.google.com/file/d/12bo4s01x2t9UYbGNXFYclSjlajbMOtIU/view?usp=sharing" TargetMode="External"/><Relationship Id="rId6" Type="http://schemas.openxmlformats.org/officeDocument/2006/relationships/hyperlink" Target="https://drive.google.com/file/d/120T8rGfHZf9poeuyb2wXNTOcn4wEGd9i/view?usp=sharing" TargetMode="External"/><Relationship Id="rId7" Type="http://schemas.openxmlformats.org/officeDocument/2006/relationships/hyperlink" Target="https://drive.google.com/file/d/1pwqme95QXa9riO4BAtdLMLCAWKjNjNRT/view?usp=sharing" TargetMode="External"/><Relationship Id="rId8" Type="http://schemas.openxmlformats.org/officeDocument/2006/relationships/hyperlink" Target="https://drive.google.com/file/d/19I-fk5R_dTMw1FIjUMkFFOUlvlQSL6yv/view?usp=sharing" TargetMode="External"/><Relationship Id="rId11" Type="http://schemas.openxmlformats.org/officeDocument/2006/relationships/hyperlink" Target="https://drive.google.com/file/d/10_Xr6dQcW7CJj4-kWub9VLzILBC3vcPt/view?usp=sharing" TargetMode="External"/><Relationship Id="rId10" Type="http://schemas.openxmlformats.org/officeDocument/2006/relationships/hyperlink" Target="https://drive.google.com/file/d/1Z8o-2R7thyjJL7DK78TKvM51MolSFzq4/view?usp=sharing" TargetMode="External"/><Relationship Id="rId13" Type="http://schemas.openxmlformats.org/officeDocument/2006/relationships/hyperlink" Target="https://drive.google.com/file/d/1XlPLiSNv8Rnw4QXNkWYOwdaQEqTgJml3/view?usp=sharing" TargetMode="External"/><Relationship Id="rId12" Type="http://schemas.openxmlformats.org/officeDocument/2006/relationships/hyperlink" Target="https://drive.google.com/file/d/11T0vI5VaAHf4J2WFLidfsGZ_rhaCrQqw/view?usp=sharing" TargetMode="External"/><Relationship Id="rId15" Type="http://schemas.openxmlformats.org/officeDocument/2006/relationships/hyperlink" Target="https://drive.google.com/file/d/1dfngwGmGEG_1n-XF2-PoocDsLmPaFJ0e/view?usp=sharing" TargetMode="External"/><Relationship Id="rId14" Type="http://schemas.openxmlformats.org/officeDocument/2006/relationships/hyperlink" Target="https://drive.google.com/file/d/1cNUKxzD__ZrnwxZq0qerLSawesf2ZAkW/view?usp=sharing" TargetMode="External"/><Relationship Id="rId17" Type="http://schemas.openxmlformats.org/officeDocument/2006/relationships/hyperlink" Target="https://drive.google.com/file/d/1_XLLDWvglqWUfxY6Xoln0rjSCpWC2Wmt/view?usp=sharing" TargetMode="External"/><Relationship Id="rId16" Type="http://schemas.openxmlformats.org/officeDocument/2006/relationships/hyperlink" Target="https://drive.google.com/file/d/1ezfxJv8q6hHVrgmjwKaof6jpCQ0in3LL/view?usp=sharing" TargetMode="External"/><Relationship Id="rId19" Type="http://schemas.openxmlformats.org/officeDocument/2006/relationships/hyperlink" Target="https://drive.google.com/file/d/13uby75y59BVV6lJo5Q22kaVY2l9dYzWk/view?usp=sharing" TargetMode="External"/><Relationship Id="rId18" Type="http://schemas.openxmlformats.org/officeDocument/2006/relationships/hyperlink" Target="https://drive.google.com/file/d/1RvSQNhxnOflNhId2scyFYNR2DnDbG0FU/view?usp=sharing"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rive.google.com/file/d/146W3vwdVturrTjMAHzXPhdsHr3sLCNvB/view?usp=sharing" TargetMode="External"/><Relationship Id="rId2" Type="http://schemas.openxmlformats.org/officeDocument/2006/relationships/hyperlink" Target="https://drive.google.com/file/d/1uasOQpolMpCsTOHJ-X30iHj4sIiLli1t/view?usp=sharing" TargetMode="External"/><Relationship Id="rId3" Type="http://schemas.openxmlformats.org/officeDocument/2006/relationships/hyperlink" Target="https://drive.google.com/file/d/1HplOpyhTNReG8kKub0aIlJxu4dz4MerC/view?usp=sharing" TargetMode="External"/><Relationship Id="rId4" Type="http://schemas.openxmlformats.org/officeDocument/2006/relationships/hyperlink" Target="https://drive.google.com/file/d/1t6rTVoN6O4t29o2cOGXNA5h2B7-Qs8CN/view?usp=sharing" TargetMode="External"/><Relationship Id="rId5" Type="http://schemas.openxmlformats.org/officeDocument/2006/relationships/hyperlink" Target="https://drive.google.com/file/d/1-L_Zbfd-DeO_Vd7F0R8ifq6zN7JbKsiA/view?usp=sharing" TargetMode="External"/><Relationship Id="rId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file/d/1jlXE5kYhWSbc-6_J5-bsk-IYDqdnkxiH/view?usp=sharing" TargetMode="External"/><Relationship Id="rId2" Type="http://schemas.openxmlformats.org/officeDocument/2006/relationships/hyperlink" Target="https://drive.google.com/file/d/1jZ2TXWtI1yQsCnOrLQSpxUuoQH8ONaot/view?usp=sharing" TargetMode="External"/><Relationship Id="rId3" Type="http://schemas.openxmlformats.org/officeDocument/2006/relationships/hyperlink" Target="https://drive.google.com/file/d/1gCoPj59JDGJDGluneqMRAcTNKAMQOJ-j/view?usp=sharing" TargetMode="External"/><Relationship Id="rId4" Type="http://schemas.openxmlformats.org/officeDocument/2006/relationships/hyperlink" Target="https://drive.google.com/file/d/1GxvRWpYeqqKGhzPE1UM9Yv2iWHybl7gm/view?usp=sharing" TargetMode="External"/><Relationship Id="rId5" Type="http://schemas.openxmlformats.org/officeDocument/2006/relationships/hyperlink" Target="https://drive.google.com/file/d/1n0hyrr0ZpzticZZPQj9tNVWpmQXLspRf/view?usp=sharing" TargetMode="External"/><Relationship Id="rId6" Type="http://schemas.openxmlformats.org/officeDocument/2006/relationships/hyperlink" Target="https://drive.google.com/file/d/1UH0UmfDNP-oFsBXkezANLGyDbnIKgpY2/view?usp=sharing" TargetMode="External"/><Relationship Id="rId7" Type="http://schemas.openxmlformats.org/officeDocument/2006/relationships/hyperlink" Target="https://drive.google.com/file/d/1QhqkbP0ig1zVf1OMT5gemnmCTUrrDk9J/view?usp=sharing"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file/d/1SqdCrHDdGgkUFhqiHDMRS3z7IFHGwUvq/view?usp=sharing" TargetMode="External"/><Relationship Id="rId2" Type="http://schemas.openxmlformats.org/officeDocument/2006/relationships/hyperlink" Target="https://drive.google.com/file/d/1bYib3_ZrvlkjSm7V1Naqim2ul3OL26VY/view?usp=sharing" TargetMode="External"/><Relationship Id="rId3" Type="http://schemas.openxmlformats.org/officeDocument/2006/relationships/hyperlink" Target="https://drive.google.com/file/d/1cljwEJjYmK4S_IgeinwRM8oiwNIws4zJ/view?usp=sharing" TargetMode="External"/><Relationship Id="rId4" Type="http://schemas.openxmlformats.org/officeDocument/2006/relationships/hyperlink" Target="https://drive.google.com/file/d/1EHoQAVSruwFPJ6IWwTejgVXE-y7TKMI_/view?usp=sharing" TargetMode="External"/><Relationship Id="rId5" Type="http://schemas.openxmlformats.org/officeDocument/2006/relationships/hyperlink" Target="https://drive.google.com/file/d/1L-jksJNcFlgcxSEus4fcmr9cqbAsn390/view?usp=sharing" TargetMode="External"/><Relationship Id="rId6"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c5vDkdsIKEjofa6xkbhognvKnCHIr3hU/view?usp=sharing" TargetMode="External"/><Relationship Id="rId2" Type="http://schemas.openxmlformats.org/officeDocument/2006/relationships/hyperlink" Target="https://drive.google.com/file/d/1Ed5MVkCpCJUmFP-feRfT2Qhn_KGBBu4t/view?usp=sharing" TargetMode="External"/><Relationship Id="rId3" Type="http://schemas.openxmlformats.org/officeDocument/2006/relationships/hyperlink" Target="https://drive.google.com/file/d/1cU8qxOS0ENfHWIB-Zu-NYLWSOsbZFyGP/view?usp=sharing" TargetMode="External"/><Relationship Id="rId4" Type="http://schemas.openxmlformats.org/officeDocument/2006/relationships/hyperlink" Target="https://drive.google.com/file/d/15RW2O1IQvnZTGQqaLdF1NUtFg4Vs6mnt/view?usp=sharing" TargetMode="External"/><Relationship Id="rId9" Type="http://schemas.openxmlformats.org/officeDocument/2006/relationships/hyperlink" Target="https://drive.google.com/file/d/16_HhoNIcaoN9VNAts44VlindQFwMzGS6/view?usp=sharing" TargetMode="External"/><Relationship Id="rId5" Type="http://schemas.openxmlformats.org/officeDocument/2006/relationships/hyperlink" Target="https://drive.google.com/file/d/1h0Iy5a7CTjL2ht_eJ3Y_Ibq0NGQhRFhS/view?usp=sharing" TargetMode="External"/><Relationship Id="rId6" Type="http://schemas.openxmlformats.org/officeDocument/2006/relationships/hyperlink" Target="https://drive.google.com/file/d/1TBfwt01cfWM-RPQwt_k_Olakwa-lakNH/view?usp=sharing" TargetMode="External"/><Relationship Id="rId7" Type="http://schemas.openxmlformats.org/officeDocument/2006/relationships/hyperlink" Target="https://drive.google.com/file/d/1KMBxJ6MdXvUiT8cYvM1Byat7Wjt6W3A8/view?usp=sharing" TargetMode="External"/><Relationship Id="rId8" Type="http://schemas.openxmlformats.org/officeDocument/2006/relationships/hyperlink" Target="https://drive.google.com/file/d/13sT5bEB-L27Eh85ZjKtMOjsnW2eeR1zk/view?usp=sharing" TargetMode="External"/><Relationship Id="rId11" Type="http://schemas.openxmlformats.org/officeDocument/2006/relationships/hyperlink" Target="https://drive.google.com/file/d/1mAjhGXIx2XYHL2ETWpE6Ims9dHS2wiuE/view?usp=sharing" TargetMode="External"/><Relationship Id="rId10" Type="http://schemas.openxmlformats.org/officeDocument/2006/relationships/hyperlink" Target="https://drive.google.com/file/d/1iTLTt2ceiJvnf4rSklSsnvAMQd5Y_XXh/view?usp=sharing" TargetMode="External"/><Relationship Id="rId13" Type="http://schemas.openxmlformats.org/officeDocument/2006/relationships/hyperlink" Target="https://drive.google.com/file/d/1gyUuxQG1FjRMZf6VcMbzyddIeQpTH9Ij/view?usp=sharing" TargetMode="External"/><Relationship Id="rId12" Type="http://schemas.openxmlformats.org/officeDocument/2006/relationships/hyperlink" Target="https://drive.google.com/file/d/1IQQsL3XN7TZPH3wisU1gZFVkTWjPm8Df/view?usp=sharing" TargetMode="External"/><Relationship Id="rId14"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file/d/1ESs9XV02MjKKgk4R1YT0CCBDhJXipPFy/view?usp=sharing" TargetMode="External"/><Relationship Id="rId2" Type="http://schemas.openxmlformats.org/officeDocument/2006/relationships/hyperlink" Target="https://drive.google.com/file/d/1YKgzijVeNm2twEf7FfDjRik0VXthTg6H/view?usp=sharing" TargetMode="External"/><Relationship Id="rId3" Type="http://schemas.openxmlformats.org/officeDocument/2006/relationships/hyperlink" Target="https://drive.google.com/file/d/1o_3VOoaT5V0YG7eZGq8GDQ45cAR7yPRt/view?usp=sharing" TargetMode="External"/><Relationship Id="rId4" Type="http://schemas.openxmlformats.org/officeDocument/2006/relationships/hyperlink" Target="https://drive.google.com/file/d/1CyQZmfEbubyNlAfkpX3nILayveWpt5cm/view?usp=sharing" TargetMode="Externa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file/d/1i-LC7S-EYs1hOdGXz-12bQeU3HHTyBzV/view?usp=sharing" TargetMode="External"/><Relationship Id="rId2" Type="http://schemas.openxmlformats.org/officeDocument/2006/relationships/hyperlink" Target="https://drive.google.com/file/d/1KpI3dAeq7i2plb7X7SLqZKFP8HqOlD0I/view?usp=sharing" TargetMode="External"/><Relationship Id="rId3" Type="http://schemas.openxmlformats.org/officeDocument/2006/relationships/hyperlink" Target="https://drive.google.com/file/d/1qQqMbSk_5bjaCE43Y_TfyhkLWageSqPX/view?usp=sharing" TargetMode="External"/><Relationship Id="rId4" Type="http://schemas.openxmlformats.org/officeDocument/2006/relationships/hyperlink" Target="https://drive.google.com/file/d/1Ugtk1enIk33GVVDcwmeY_0SBAEbFdMBH/view?usp=sharing" TargetMode="External"/><Relationship Id="rId5" Type="http://schemas.openxmlformats.org/officeDocument/2006/relationships/hyperlink" Target="https://drive.google.com/file/d/1h8u0Q7hKq3DjIi6HAnsNt38xKB1X7CUP/view?usp=sharing" TargetMode="External"/><Relationship Id="rId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drive.google.com/file/d/1s1fLEKJeT6FoYd7L6cJxavxvfoHwHTFM/view?usp=sharing" TargetMode="External"/><Relationship Id="rId2" Type="http://schemas.openxmlformats.org/officeDocument/2006/relationships/hyperlink" Target="https://drive.google.com/file/d/1Y9-2FIUQ9oXZvxGtbIRo42TIfsXPcEe6/view?usp=sharing" TargetMode="External"/><Relationship Id="rId3" Type="http://schemas.openxmlformats.org/officeDocument/2006/relationships/hyperlink" Target="https://drive.google.com/file/d/1oxpCL2XSlKt35mnM2IdNAg4pF050P-qt/view?usp=sharing" TargetMode="External"/><Relationship Id="rId4" Type="http://schemas.openxmlformats.org/officeDocument/2006/relationships/hyperlink" Target="https://drive.google.com/file/d/1zfCpM-nJG6BZTgTXBBGxz5I3m0cRIECr/view?usp=sharing" TargetMode="External"/><Relationship Id="rId9" Type="http://schemas.openxmlformats.org/officeDocument/2006/relationships/hyperlink" Target="https://drive.google.com/file/d/1BYnsjCGl_aMbXdepqbvGnEYW5njJAFco/view?usp=sharing" TargetMode="External"/><Relationship Id="rId5" Type="http://schemas.openxmlformats.org/officeDocument/2006/relationships/hyperlink" Target="https://drive.google.com/file/d/1NUP3M-LUyTmnj8H9Tqq38oYFwRCeizfW/view?usp=sharing" TargetMode="External"/><Relationship Id="rId6" Type="http://schemas.openxmlformats.org/officeDocument/2006/relationships/hyperlink" Target="https://drive.google.com/file/d/17-lXEojVCCs6k2TH_Zw_er0W5VDGAcOr/view?usp=sharing" TargetMode="External"/><Relationship Id="rId7" Type="http://schemas.openxmlformats.org/officeDocument/2006/relationships/hyperlink" Target="https://drive.google.com/file/d/140hZuQlCmxcWkl7e6M6YDhXuyQAhOkYU/view?usp=sharing" TargetMode="External"/><Relationship Id="rId8" Type="http://schemas.openxmlformats.org/officeDocument/2006/relationships/hyperlink" Target="https://drive.google.com/file/d/1N-rrQx0nTqHbZIqTufzXD4xtdpDP96-v/view?usp=sharing" TargetMode="External"/><Relationship Id="rId11" Type="http://schemas.openxmlformats.org/officeDocument/2006/relationships/hyperlink" Target="https://drive.google.com/file/d/16un0itONLbmeLGUxfiLMy3qqTPQjPlvG/view?usp=sharing" TargetMode="External"/><Relationship Id="rId10" Type="http://schemas.openxmlformats.org/officeDocument/2006/relationships/hyperlink" Target="https://drive.google.com/file/d/1VsSPsf1njfbIDinri5WjRW00x0Tqpo_w/view?usp=sharing" TargetMode="External"/><Relationship Id="rId1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drive.google.com/file/d/122q84zREjlGuf4gHSRWdtH555xGBjla5/view?usp=sharing" TargetMode="External"/><Relationship Id="rId2" Type="http://schemas.openxmlformats.org/officeDocument/2006/relationships/hyperlink" Target="https://drive.google.com/file/d/1dhgHmzPIMF58iUSW8N0-sMCM91ZkXsqw/view?usp=sharing" TargetMode="External"/><Relationship Id="rId3" Type="http://schemas.openxmlformats.org/officeDocument/2006/relationships/hyperlink" Target="https://drive.google.com/file/d/1XIndl5RN9pEaTcFbl0rK1A9mXLSeyTu8/view?usp=sharing" TargetMode="External"/><Relationship Id="rId4" Type="http://schemas.openxmlformats.org/officeDocument/2006/relationships/hyperlink" Target="https://drive.google.com/file/d/1KCbyO4zac7Kr2ecMZkT7ma6CmB6ek2JN/view?usp=sharing" TargetMode="External"/><Relationship Id="rId5"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29.5"/>
    <col customWidth="1" min="5" max="5" width="54.13"/>
    <col customWidth="1" min="6" max="6" width="23.88"/>
    <col customWidth="1" min="7" max="24" width="9.0"/>
  </cols>
  <sheetData>
    <row r="1" ht="13.5" customHeight="1">
      <c r="A1" s="1"/>
      <c r="B1" s="1"/>
      <c r="C1" s="1"/>
      <c r="D1" s="1"/>
      <c r="E1" s="1"/>
      <c r="F1" s="1"/>
      <c r="G1" s="1"/>
      <c r="H1" s="1"/>
      <c r="I1" s="1"/>
      <c r="J1" s="1"/>
      <c r="K1" s="1"/>
      <c r="L1" s="1"/>
      <c r="M1" s="1"/>
      <c r="N1" s="1"/>
      <c r="O1" s="1"/>
      <c r="P1" s="1"/>
      <c r="Q1" s="1"/>
      <c r="R1" s="1"/>
      <c r="S1" s="1"/>
      <c r="T1" s="1"/>
      <c r="U1" s="1"/>
      <c r="V1" s="1"/>
      <c r="W1" s="1"/>
      <c r="X1" s="1"/>
    </row>
    <row r="2" ht="13.5" customHeight="1">
      <c r="A2" s="7"/>
      <c r="B2" s="10" t="s">
        <v>2</v>
      </c>
      <c r="C2" s="7"/>
      <c r="D2" s="7"/>
      <c r="E2" s="7"/>
      <c r="F2" s="7"/>
      <c r="G2" s="1"/>
      <c r="H2" s="1"/>
      <c r="I2" s="1"/>
      <c r="J2" s="1"/>
      <c r="K2" s="1"/>
      <c r="L2" s="1"/>
      <c r="M2" s="1"/>
      <c r="N2" s="1"/>
      <c r="O2" s="1"/>
      <c r="P2" s="1"/>
      <c r="Q2" s="1"/>
      <c r="R2" s="1"/>
      <c r="S2" s="1"/>
      <c r="T2" s="1"/>
      <c r="U2" s="1"/>
      <c r="V2" s="1"/>
      <c r="W2" s="1"/>
      <c r="X2" s="1"/>
    </row>
    <row r="3" ht="13.5" customHeight="1">
      <c r="A3" s="7"/>
      <c r="B3" s="15" t="s">
        <v>4</v>
      </c>
      <c r="C3" s="17" t="s">
        <v>6</v>
      </c>
      <c r="D3" s="20"/>
      <c r="E3" s="7"/>
      <c r="F3" s="7"/>
      <c r="G3" s="1"/>
      <c r="H3" s="1"/>
      <c r="I3" s="1"/>
      <c r="J3" s="1"/>
      <c r="K3" s="1"/>
      <c r="L3" s="1"/>
      <c r="M3" s="1"/>
      <c r="N3" s="1"/>
      <c r="O3" s="1"/>
      <c r="P3" s="1"/>
      <c r="Q3" s="1"/>
      <c r="R3" s="1"/>
      <c r="S3" s="1"/>
      <c r="T3" s="1"/>
      <c r="U3" s="1"/>
      <c r="V3" s="1"/>
      <c r="W3" s="1"/>
      <c r="X3" s="1"/>
    </row>
    <row r="4" ht="13.5" customHeight="1">
      <c r="A4" s="7"/>
      <c r="B4" s="15" t="s">
        <v>12</v>
      </c>
      <c r="C4" s="26">
        <v>46257.0</v>
      </c>
      <c r="D4" s="27"/>
      <c r="E4" s="7"/>
      <c r="F4" s="7"/>
      <c r="G4" s="1"/>
      <c r="H4" s="1"/>
      <c r="I4" s="1"/>
      <c r="J4" s="1"/>
      <c r="K4" s="1"/>
      <c r="L4" s="1"/>
      <c r="M4" s="1"/>
      <c r="N4" s="1"/>
      <c r="O4" s="1"/>
      <c r="P4" s="1"/>
      <c r="Q4" s="1"/>
      <c r="R4" s="1"/>
      <c r="S4" s="1"/>
      <c r="T4" s="1"/>
      <c r="U4" s="1"/>
      <c r="V4" s="1"/>
      <c r="W4" s="1"/>
      <c r="X4" s="1"/>
    </row>
    <row r="5" ht="13.5" customHeight="1">
      <c r="A5" s="7"/>
      <c r="B5" s="15"/>
      <c r="C5" s="20"/>
      <c r="D5" s="20"/>
      <c r="E5" s="7"/>
      <c r="F5" s="7"/>
      <c r="G5" s="1"/>
      <c r="H5" s="1"/>
      <c r="I5" s="1"/>
      <c r="J5" s="1"/>
      <c r="K5" s="1"/>
      <c r="L5" s="1"/>
      <c r="M5" s="1"/>
      <c r="N5" s="1"/>
      <c r="O5" s="1"/>
      <c r="P5" s="1"/>
      <c r="Q5" s="1"/>
      <c r="R5" s="1"/>
      <c r="S5" s="1"/>
      <c r="T5" s="1"/>
      <c r="U5" s="1"/>
      <c r="V5" s="1"/>
      <c r="W5" s="1"/>
      <c r="X5" s="1"/>
    </row>
    <row r="6" ht="14.25" customHeight="1">
      <c r="A6" s="7"/>
      <c r="B6" s="15" t="s">
        <v>19</v>
      </c>
      <c r="C6" s="33" t="s">
        <v>21</v>
      </c>
      <c r="D6" s="35"/>
      <c r="E6" s="50"/>
      <c r="F6" s="7"/>
      <c r="G6" s="1"/>
      <c r="H6" s="1"/>
      <c r="I6" s="1"/>
      <c r="J6" s="1"/>
      <c r="K6" s="1"/>
      <c r="L6" s="1"/>
      <c r="M6" s="1"/>
      <c r="N6" s="1"/>
      <c r="O6" s="1"/>
      <c r="P6" s="1"/>
      <c r="Q6" s="1"/>
      <c r="R6" s="1"/>
      <c r="S6" s="1"/>
      <c r="T6" s="1"/>
      <c r="U6" s="1"/>
      <c r="V6" s="1"/>
      <c r="W6" s="1"/>
      <c r="X6" s="1"/>
    </row>
    <row r="7" ht="13.5" customHeight="1">
      <c r="A7" s="7"/>
      <c r="B7" s="15" t="s">
        <v>35</v>
      </c>
      <c r="C7" s="33" t="s">
        <v>37</v>
      </c>
      <c r="D7" s="35"/>
      <c r="E7" s="50"/>
      <c r="F7" s="7"/>
      <c r="G7" s="1"/>
      <c r="H7" s="1"/>
      <c r="I7" s="1"/>
      <c r="J7" s="1"/>
      <c r="K7" s="1"/>
      <c r="L7" s="1"/>
      <c r="M7" s="1"/>
      <c r="N7" s="1"/>
      <c r="O7" s="1"/>
      <c r="P7" s="1"/>
      <c r="Q7" s="1"/>
      <c r="R7" s="1"/>
      <c r="S7" s="1"/>
      <c r="T7" s="1"/>
      <c r="U7" s="1"/>
      <c r="V7" s="1"/>
      <c r="W7" s="1"/>
      <c r="X7" s="1"/>
    </row>
    <row r="8" ht="13.5" customHeight="1">
      <c r="A8" s="7"/>
      <c r="B8" s="15"/>
      <c r="C8" s="7"/>
      <c r="D8" s="7"/>
      <c r="E8" s="7"/>
      <c r="F8" s="7"/>
      <c r="G8" s="1"/>
      <c r="H8" s="1"/>
      <c r="I8" s="1"/>
      <c r="J8" s="1"/>
      <c r="K8" s="1"/>
      <c r="L8" s="1"/>
      <c r="M8" s="1"/>
      <c r="N8" s="1"/>
      <c r="O8" s="1"/>
      <c r="P8" s="1"/>
      <c r="Q8" s="1"/>
      <c r="R8" s="1"/>
      <c r="S8" s="1"/>
      <c r="T8" s="1"/>
      <c r="U8" s="1"/>
      <c r="V8" s="1"/>
      <c r="W8" s="1"/>
      <c r="X8" s="1"/>
    </row>
    <row r="9" ht="13.5" customHeight="1">
      <c r="A9" s="7"/>
      <c r="B9" s="8"/>
      <c r="C9" s="8"/>
      <c r="D9" s="8"/>
      <c r="E9" s="8"/>
      <c r="F9" s="7"/>
      <c r="G9" s="1"/>
      <c r="H9" s="1"/>
      <c r="I9" s="1"/>
      <c r="J9" s="1"/>
      <c r="K9" s="1"/>
      <c r="L9" s="1"/>
      <c r="M9" s="1"/>
      <c r="N9" s="1"/>
      <c r="O9" s="1"/>
      <c r="P9" s="1"/>
      <c r="Q9" s="1"/>
      <c r="R9" s="1"/>
      <c r="S9" s="1"/>
      <c r="T9" s="1"/>
      <c r="U9" s="1"/>
      <c r="V9" s="1"/>
      <c r="W9" s="1"/>
      <c r="X9" s="1"/>
    </row>
    <row r="10" ht="13.5" customHeight="1">
      <c r="A10" s="1"/>
      <c r="B10" s="22" t="s">
        <v>46</v>
      </c>
      <c r="C10" s="1"/>
      <c r="D10" s="1"/>
      <c r="E10" s="1"/>
      <c r="F10" s="1"/>
      <c r="G10" s="1"/>
      <c r="H10" s="1"/>
      <c r="I10" s="1"/>
      <c r="J10" s="1"/>
      <c r="K10" s="1"/>
      <c r="L10" s="1"/>
      <c r="M10" s="1"/>
      <c r="N10" s="1"/>
      <c r="O10" s="1"/>
      <c r="P10" s="1"/>
      <c r="Q10" s="1"/>
      <c r="R10" s="1"/>
      <c r="S10" s="1"/>
      <c r="T10" s="1"/>
      <c r="U10" s="1"/>
      <c r="V10" s="1"/>
      <c r="W10" s="1"/>
      <c r="X10" s="1"/>
    </row>
    <row r="11" ht="26.25" customHeight="1">
      <c r="A11" s="44"/>
      <c r="B11" s="62" t="s">
        <v>49</v>
      </c>
      <c r="C11" s="64" t="s">
        <v>50</v>
      </c>
      <c r="D11" s="64" t="s">
        <v>51</v>
      </c>
      <c r="E11" s="64" t="s">
        <v>52</v>
      </c>
      <c r="F11" s="64" t="s">
        <v>53</v>
      </c>
      <c r="G11" s="44"/>
      <c r="H11" s="44"/>
      <c r="I11" s="44"/>
      <c r="J11" s="44"/>
      <c r="K11" s="44"/>
      <c r="L11" s="44"/>
      <c r="M11" s="44"/>
      <c r="N11" s="44"/>
      <c r="O11" s="44"/>
      <c r="P11" s="44"/>
      <c r="Q11" s="44"/>
      <c r="R11" s="44"/>
      <c r="S11" s="44"/>
      <c r="T11" s="44"/>
      <c r="U11" s="44"/>
      <c r="V11" s="44"/>
      <c r="W11" s="44"/>
      <c r="X11" s="44"/>
    </row>
    <row r="12" ht="54.0" customHeight="1">
      <c r="A12" s="44"/>
      <c r="B12" s="68">
        <v>46213.0</v>
      </c>
      <c r="C12" s="70" t="s">
        <v>6</v>
      </c>
      <c r="D12" s="71" t="s">
        <v>54</v>
      </c>
      <c r="E12" s="72" t="s">
        <v>55</v>
      </c>
      <c r="F12" s="71" t="s">
        <v>56</v>
      </c>
      <c r="G12" s="44"/>
      <c r="H12" s="44"/>
      <c r="I12" s="44"/>
      <c r="J12" s="44"/>
      <c r="K12" s="44"/>
      <c r="L12" s="44"/>
      <c r="M12" s="44"/>
      <c r="N12" s="44"/>
      <c r="O12" s="44"/>
      <c r="P12" s="44"/>
      <c r="Q12" s="44"/>
      <c r="R12" s="44"/>
      <c r="S12" s="44"/>
      <c r="T12" s="44"/>
      <c r="U12" s="44"/>
      <c r="V12" s="44"/>
      <c r="W12" s="44"/>
      <c r="X12" s="44"/>
    </row>
    <row r="13" ht="45.75" customHeight="1">
      <c r="A13" s="44"/>
      <c r="B13" s="68">
        <v>46218.0</v>
      </c>
      <c r="C13" s="70" t="s">
        <v>58</v>
      </c>
      <c r="D13" s="71" t="s">
        <v>59</v>
      </c>
      <c r="E13" s="72" t="s">
        <v>60</v>
      </c>
      <c r="F13" s="71" t="s">
        <v>56</v>
      </c>
      <c r="G13" s="44"/>
      <c r="H13" s="44"/>
      <c r="I13" s="44"/>
      <c r="J13" s="44"/>
      <c r="K13" s="44"/>
      <c r="L13" s="44"/>
      <c r="M13" s="44"/>
      <c r="N13" s="44"/>
      <c r="O13" s="44"/>
      <c r="P13" s="44"/>
      <c r="Q13" s="44"/>
      <c r="R13" s="44"/>
      <c r="S13" s="44"/>
      <c r="T13" s="44"/>
      <c r="U13" s="44"/>
      <c r="V13" s="44"/>
      <c r="W13" s="44"/>
      <c r="X13" s="44"/>
    </row>
    <row r="14" ht="36.75" customHeight="1">
      <c r="A14" s="44"/>
      <c r="B14" s="68">
        <v>46219.0</v>
      </c>
      <c r="C14" s="70" t="s">
        <v>61</v>
      </c>
      <c r="D14" s="71" t="s">
        <v>59</v>
      </c>
      <c r="E14" s="72" t="s">
        <v>62</v>
      </c>
      <c r="F14" s="71" t="s">
        <v>56</v>
      </c>
      <c r="G14" s="44"/>
      <c r="H14" s="44"/>
      <c r="I14" s="44"/>
      <c r="J14" s="44"/>
      <c r="K14" s="44"/>
      <c r="L14" s="44"/>
      <c r="M14" s="44"/>
      <c r="N14" s="44"/>
      <c r="O14" s="44"/>
      <c r="P14" s="44"/>
      <c r="Q14" s="44"/>
      <c r="R14" s="44"/>
      <c r="S14" s="44"/>
      <c r="T14" s="44"/>
      <c r="U14" s="44"/>
      <c r="V14" s="44"/>
      <c r="W14" s="44"/>
      <c r="X14" s="44"/>
    </row>
    <row r="15" ht="43.5" customHeight="1">
      <c r="A15" s="44"/>
      <c r="B15" s="68">
        <v>46226.0</v>
      </c>
      <c r="C15" s="70" t="s">
        <v>63</v>
      </c>
      <c r="D15" s="71" t="s">
        <v>64</v>
      </c>
      <c r="E15" s="72" t="s">
        <v>65</v>
      </c>
      <c r="F15" s="71" t="s">
        <v>56</v>
      </c>
      <c r="G15" s="44"/>
      <c r="H15" s="44"/>
      <c r="I15" s="44"/>
      <c r="J15" s="44"/>
      <c r="K15" s="44"/>
      <c r="L15" s="44"/>
      <c r="M15" s="44"/>
      <c r="N15" s="44"/>
      <c r="O15" s="44"/>
      <c r="P15" s="44"/>
      <c r="Q15" s="44"/>
      <c r="R15" s="44"/>
      <c r="S15" s="44"/>
      <c r="T15" s="44"/>
      <c r="U15" s="44"/>
      <c r="V15" s="44"/>
      <c r="W15" s="44"/>
      <c r="X15" s="44"/>
    </row>
    <row r="16" ht="54.75" customHeight="1">
      <c r="A16" s="78"/>
      <c r="B16" s="68">
        <v>46232.0</v>
      </c>
      <c r="C16" s="70" t="s">
        <v>69</v>
      </c>
      <c r="D16" s="71" t="s">
        <v>71</v>
      </c>
      <c r="E16" s="72" t="s">
        <v>72</v>
      </c>
      <c r="F16" s="71" t="s">
        <v>56</v>
      </c>
      <c r="G16" s="78"/>
      <c r="H16" s="78"/>
      <c r="I16" s="78"/>
      <c r="J16" s="78"/>
      <c r="K16" s="78"/>
      <c r="L16" s="78"/>
      <c r="M16" s="78"/>
      <c r="N16" s="78"/>
      <c r="O16" s="78"/>
      <c r="P16" s="78"/>
      <c r="Q16" s="78"/>
      <c r="R16" s="78"/>
      <c r="S16" s="78"/>
      <c r="T16" s="78"/>
      <c r="U16" s="78"/>
      <c r="V16" s="78"/>
      <c r="W16" s="78"/>
      <c r="X16" s="78"/>
    </row>
    <row r="17" ht="55.5" customHeight="1">
      <c r="A17" s="78"/>
      <c r="B17" s="68">
        <v>46233.0</v>
      </c>
      <c r="C17" s="70" t="s">
        <v>74</v>
      </c>
      <c r="D17" s="71" t="s">
        <v>75</v>
      </c>
      <c r="E17" s="72" t="s">
        <v>76</v>
      </c>
      <c r="F17" s="71" t="s">
        <v>56</v>
      </c>
      <c r="G17" s="78"/>
      <c r="H17" s="78"/>
      <c r="I17" s="78"/>
      <c r="J17" s="78"/>
      <c r="K17" s="78"/>
      <c r="L17" s="78"/>
      <c r="M17" s="78"/>
      <c r="N17" s="78"/>
      <c r="O17" s="78"/>
      <c r="P17" s="78"/>
      <c r="Q17" s="78"/>
      <c r="R17" s="78"/>
      <c r="S17" s="78"/>
      <c r="T17" s="78"/>
      <c r="U17" s="78"/>
      <c r="V17" s="78"/>
      <c r="W17" s="78"/>
      <c r="X17" s="78"/>
    </row>
    <row r="18" ht="35.25" customHeight="1">
      <c r="A18" s="44"/>
      <c r="B18" s="68">
        <v>46234.0</v>
      </c>
      <c r="C18" s="70" t="s">
        <v>78</v>
      </c>
      <c r="D18" s="71" t="s">
        <v>79</v>
      </c>
      <c r="E18" s="72" t="s">
        <v>80</v>
      </c>
      <c r="F18" s="71" t="s">
        <v>56</v>
      </c>
      <c r="G18" s="44"/>
      <c r="H18" s="44"/>
      <c r="I18" s="44"/>
      <c r="J18" s="44"/>
      <c r="K18" s="44"/>
      <c r="L18" s="44"/>
      <c r="M18" s="44"/>
      <c r="N18" s="44"/>
      <c r="O18" s="44"/>
      <c r="P18" s="44"/>
      <c r="Q18" s="44"/>
      <c r="R18" s="44"/>
      <c r="S18" s="44"/>
      <c r="T18" s="44"/>
      <c r="U18" s="44"/>
      <c r="V18" s="44"/>
      <c r="W18" s="44"/>
      <c r="X18" s="44"/>
    </row>
    <row r="19" ht="52.5" customHeight="1">
      <c r="A19" s="44"/>
      <c r="B19" s="68">
        <v>46240.0</v>
      </c>
      <c r="C19" s="70" t="s">
        <v>81</v>
      </c>
      <c r="D19" s="71" t="s">
        <v>82</v>
      </c>
      <c r="E19" s="72" t="s">
        <v>83</v>
      </c>
      <c r="F19" s="71" t="s">
        <v>56</v>
      </c>
      <c r="G19" s="44"/>
      <c r="H19" s="44"/>
      <c r="I19" s="44"/>
      <c r="J19" s="44"/>
      <c r="K19" s="44"/>
      <c r="L19" s="44"/>
      <c r="M19" s="44"/>
      <c r="N19" s="44"/>
      <c r="O19" s="44"/>
      <c r="P19" s="44"/>
      <c r="Q19" s="44"/>
      <c r="R19" s="44"/>
      <c r="S19" s="44"/>
      <c r="T19" s="44"/>
      <c r="U19" s="44"/>
      <c r="V19" s="44"/>
      <c r="W19" s="44"/>
      <c r="X19" s="44"/>
    </row>
    <row r="20" ht="42.75" customHeight="1">
      <c r="A20" s="44"/>
      <c r="B20" s="68">
        <v>46241.0</v>
      </c>
      <c r="C20" s="70" t="s">
        <v>84</v>
      </c>
      <c r="D20" s="71" t="s">
        <v>82</v>
      </c>
      <c r="E20" s="72" t="s">
        <v>85</v>
      </c>
      <c r="F20" s="71" t="s">
        <v>56</v>
      </c>
      <c r="G20" s="44"/>
      <c r="H20" s="44"/>
      <c r="I20" s="44"/>
      <c r="J20" s="44"/>
      <c r="K20" s="44"/>
      <c r="L20" s="44"/>
      <c r="M20" s="44"/>
      <c r="N20" s="44"/>
      <c r="O20" s="44"/>
      <c r="P20" s="44"/>
      <c r="Q20" s="44"/>
      <c r="R20" s="44"/>
      <c r="S20" s="44"/>
      <c r="T20" s="44"/>
      <c r="U20" s="44"/>
      <c r="V20" s="44"/>
      <c r="W20" s="44"/>
      <c r="X20" s="44"/>
    </row>
    <row r="21" ht="47.25" customHeight="1">
      <c r="A21" s="44"/>
      <c r="B21" s="68">
        <v>46242.0</v>
      </c>
      <c r="C21" s="70" t="s">
        <v>86</v>
      </c>
      <c r="D21" s="71" t="s">
        <v>82</v>
      </c>
      <c r="E21" s="72" t="s">
        <v>87</v>
      </c>
      <c r="F21" s="71" t="s">
        <v>56</v>
      </c>
      <c r="G21" s="44"/>
      <c r="H21" s="44"/>
      <c r="I21" s="44"/>
      <c r="J21" s="44"/>
      <c r="K21" s="44"/>
      <c r="L21" s="44"/>
      <c r="M21" s="44"/>
      <c r="N21" s="44"/>
      <c r="O21" s="44"/>
      <c r="P21" s="44"/>
      <c r="Q21" s="44"/>
      <c r="R21" s="44"/>
      <c r="S21" s="44"/>
      <c r="T21" s="44"/>
      <c r="U21" s="44"/>
      <c r="V21" s="44"/>
      <c r="W21" s="44"/>
      <c r="X21" s="44"/>
    </row>
    <row r="22" ht="44.25" customHeight="1">
      <c r="A22" s="44"/>
      <c r="B22" s="68">
        <v>46245.0</v>
      </c>
      <c r="C22" s="70" t="s">
        <v>88</v>
      </c>
      <c r="D22" s="71" t="s">
        <v>89</v>
      </c>
      <c r="E22" s="72" t="s">
        <v>90</v>
      </c>
      <c r="F22" s="71" t="s">
        <v>56</v>
      </c>
      <c r="G22" s="44"/>
      <c r="H22" s="44"/>
      <c r="I22" s="44"/>
      <c r="J22" s="44"/>
      <c r="K22" s="44"/>
      <c r="L22" s="44"/>
      <c r="M22" s="44"/>
      <c r="N22" s="44"/>
      <c r="O22" s="44"/>
      <c r="P22" s="44"/>
      <c r="Q22" s="44"/>
      <c r="R22" s="44"/>
      <c r="S22" s="44"/>
      <c r="T22" s="44"/>
      <c r="U22" s="44"/>
      <c r="V22" s="44"/>
      <c r="W22" s="44"/>
      <c r="X22" s="44"/>
    </row>
    <row r="23" ht="41.25" customHeight="1">
      <c r="A23" s="44"/>
      <c r="B23" s="68">
        <v>46246.0</v>
      </c>
      <c r="C23" s="70" t="s">
        <v>91</v>
      </c>
      <c r="D23" s="71" t="s">
        <v>92</v>
      </c>
      <c r="E23" s="72" t="s">
        <v>93</v>
      </c>
      <c r="F23" s="71" t="s">
        <v>56</v>
      </c>
      <c r="G23" s="44"/>
      <c r="H23" s="44"/>
      <c r="I23" s="44"/>
      <c r="J23" s="44"/>
      <c r="K23" s="44"/>
      <c r="L23" s="44"/>
      <c r="M23" s="44"/>
      <c r="N23" s="44"/>
      <c r="O23" s="44"/>
      <c r="P23" s="44"/>
      <c r="Q23" s="44"/>
      <c r="R23" s="44"/>
      <c r="S23" s="44"/>
      <c r="T23" s="44"/>
      <c r="U23" s="44"/>
      <c r="V23" s="44"/>
      <c r="W23" s="44"/>
      <c r="X23" s="44"/>
    </row>
    <row r="24" ht="51.0" customHeight="1">
      <c r="A24" s="44"/>
      <c r="B24" s="68">
        <v>46247.0</v>
      </c>
      <c r="C24" s="70" t="s">
        <v>95</v>
      </c>
      <c r="D24" s="71" t="s">
        <v>96</v>
      </c>
      <c r="E24" s="72" t="s">
        <v>98</v>
      </c>
      <c r="F24" s="71" t="s">
        <v>56</v>
      </c>
      <c r="G24" s="44"/>
      <c r="H24" s="44"/>
      <c r="I24" s="44"/>
      <c r="J24" s="44"/>
      <c r="K24" s="44"/>
      <c r="L24" s="44"/>
      <c r="M24" s="44"/>
      <c r="N24" s="44"/>
      <c r="O24" s="44"/>
      <c r="P24" s="44"/>
      <c r="Q24" s="44"/>
      <c r="R24" s="44"/>
      <c r="S24" s="44"/>
      <c r="T24" s="44"/>
      <c r="U24" s="44"/>
      <c r="V24" s="44"/>
      <c r="W24" s="44"/>
      <c r="X24" s="44"/>
    </row>
    <row r="25" ht="47.25" customHeight="1">
      <c r="A25" s="44"/>
      <c r="B25" s="68">
        <v>46248.0</v>
      </c>
      <c r="C25" s="70" t="s">
        <v>99</v>
      </c>
      <c r="D25" s="89" t="s">
        <v>100</v>
      </c>
      <c r="E25" s="72" t="s">
        <v>103</v>
      </c>
      <c r="F25" s="71" t="s">
        <v>56</v>
      </c>
      <c r="G25" s="44"/>
      <c r="H25" s="44"/>
      <c r="I25" s="44"/>
      <c r="J25" s="44"/>
      <c r="K25" s="44"/>
      <c r="L25" s="44"/>
      <c r="M25" s="44"/>
      <c r="N25" s="44"/>
      <c r="O25" s="44"/>
      <c r="P25" s="44"/>
      <c r="Q25" s="44"/>
      <c r="R25" s="44"/>
      <c r="S25" s="44"/>
      <c r="T25" s="44"/>
      <c r="U25" s="44"/>
      <c r="V25" s="44"/>
      <c r="W25" s="44"/>
      <c r="X25" s="44"/>
    </row>
    <row r="26" ht="48.0" customHeight="1">
      <c r="A26" s="44"/>
      <c r="B26" s="90">
        <v>46249.0</v>
      </c>
      <c r="C26" s="70" t="s">
        <v>106</v>
      </c>
      <c r="D26" s="89" t="s">
        <v>100</v>
      </c>
      <c r="E26" s="72" t="s">
        <v>108</v>
      </c>
      <c r="F26" s="71" t="s">
        <v>56</v>
      </c>
      <c r="G26" s="44"/>
      <c r="H26" s="44"/>
      <c r="I26" s="44"/>
      <c r="J26" s="44"/>
      <c r="K26" s="44"/>
      <c r="L26" s="44"/>
      <c r="M26" s="44"/>
      <c r="N26" s="44"/>
      <c r="O26" s="44"/>
      <c r="P26" s="44"/>
      <c r="Q26" s="44"/>
      <c r="R26" s="44"/>
      <c r="S26" s="44"/>
      <c r="T26" s="44"/>
      <c r="U26" s="44"/>
      <c r="V26" s="44"/>
      <c r="W26" s="44"/>
      <c r="X26" s="44"/>
    </row>
    <row r="27" ht="54.0" customHeight="1">
      <c r="A27" s="44"/>
      <c r="B27" s="90">
        <v>46252.0</v>
      </c>
      <c r="C27" s="70" t="s">
        <v>109</v>
      </c>
      <c r="D27" s="89" t="s">
        <v>110</v>
      </c>
      <c r="E27" s="72" t="s">
        <v>111</v>
      </c>
      <c r="F27" s="71" t="s">
        <v>56</v>
      </c>
      <c r="G27" s="44"/>
      <c r="H27" s="44"/>
      <c r="I27" s="44"/>
      <c r="J27" s="44"/>
      <c r="K27" s="44"/>
      <c r="L27" s="44"/>
      <c r="M27" s="44"/>
      <c r="N27" s="44"/>
      <c r="O27" s="44"/>
      <c r="P27" s="44"/>
      <c r="Q27" s="44"/>
      <c r="R27" s="44"/>
      <c r="S27" s="44"/>
      <c r="T27" s="44"/>
      <c r="U27" s="44"/>
      <c r="V27" s="44"/>
      <c r="W27" s="44"/>
      <c r="X27" s="44"/>
    </row>
    <row r="28" ht="54.0" customHeight="1">
      <c r="A28" s="44"/>
      <c r="B28" s="90">
        <v>46255.0</v>
      </c>
      <c r="C28" s="70" t="s">
        <v>112</v>
      </c>
      <c r="D28" s="89" t="s">
        <v>113</v>
      </c>
      <c r="E28" s="72" t="s">
        <v>114</v>
      </c>
      <c r="F28" s="71" t="s">
        <v>56</v>
      </c>
      <c r="G28" s="44"/>
      <c r="H28" s="44"/>
      <c r="I28" s="44"/>
      <c r="J28" s="44"/>
      <c r="K28" s="44"/>
      <c r="L28" s="44"/>
      <c r="M28" s="44"/>
      <c r="N28" s="44"/>
      <c r="O28" s="44"/>
      <c r="P28" s="44"/>
      <c r="Q28" s="44"/>
      <c r="R28" s="44"/>
      <c r="S28" s="44"/>
      <c r="T28" s="44"/>
      <c r="U28" s="44"/>
      <c r="V28" s="44"/>
      <c r="W28" s="44"/>
      <c r="X28" s="44"/>
    </row>
    <row r="29" ht="50.25" customHeight="1">
      <c r="A29" s="44"/>
      <c r="B29" s="90">
        <v>46256.0</v>
      </c>
      <c r="C29" s="70" t="s">
        <v>115</v>
      </c>
      <c r="D29" s="89" t="s">
        <v>116</v>
      </c>
      <c r="E29" s="72" t="s">
        <v>117</v>
      </c>
      <c r="F29" s="71" t="s">
        <v>56</v>
      </c>
      <c r="G29" s="44"/>
      <c r="H29" s="44"/>
      <c r="I29" s="44"/>
      <c r="J29" s="44"/>
      <c r="K29" s="44"/>
      <c r="L29" s="44"/>
      <c r="M29" s="44"/>
      <c r="N29" s="44"/>
      <c r="O29" s="44"/>
      <c r="P29" s="44"/>
      <c r="Q29" s="44"/>
      <c r="R29" s="44"/>
      <c r="S29" s="44"/>
      <c r="T29" s="44"/>
      <c r="U29" s="44"/>
      <c r="V29" s="44"/>
      <c r="W29" s="44"/>
      <c r="X29" s="44"/>
    </row>
    <row r="30" ht="60.0" customHeight="1">
      <c r="A30" s="44"/>
      <c r="B30" s="91">
        <v>46257.0</v>
      </c>
      <c r="C30" s="92" t="s">
        <v>119</v>
      </c>
      <c r="D30" s="93" t="s">
        <v>120</v>
      </c>
      <c r="E30" s="72" t="s">
        <v>122</v>
      </c>
      <c r="F30" s="71" t="s">
        <v>56</v>
      </c>
      <c r="G30" s="44"/>
      <c r="H30" s="44"/>
      <c r="I30" s="44"/>
      <c r="J30" s="44"/>
      <c r="K30" s="44"/>
      <c r="L30" s="44"/>
      <c r="M30" s="44"/>
      <c r="N30" s="44"/>
      <c r="O30" s="44"/>
      <c r="P30" s="44"/>
      <c r="Q30" s="44"/>
      <c r="R30" s="44"/>
      <c r="S30" s="44"/>
      <c r="T30" s="44"/>
      <c r="U30" s="44"/>
      <c r="V30" s="44"/>
      <c r="W30" s="44"/>
      <c r="X30" s="44"/>
    </row>
    <row r="31" ht="13.5" customHeight="1">
      <c r="A31" s="1"/>
      <c r="B31" s="1"/>
      <c r="C31" s="1"/>
      <c r="D31" s="1"/>
      <c r="E31" s="1"/>
      <c r="F31" s="1"/>
      <c r="G31" s="1"/>
      <c r="H31" s="1"/>
      <c r="I31" s="1"/>
      <c r="J31" s="1"/>
      <c r="K31" s="1"/>
      <c r="L31" s="1"/>
      <c r="M31" s="1"/>
      <c r="N31" s="1"/>
      <c r="O31" s="1"/>
      <c r="P31" s="1"/>
      <c r="Q31" s="1"/>
      <c r="R31" s="1"/>
      <c r="S31" s="1"/>
      <c r="T31" s="1"/>
      <c r="U31" s="1"/>
      <c r="V31" s="1"/>
      <c r="W31" s="1"/>
      <c r="X31" s="1"/>
    </row>
    <row r="32" ht="13.5" customHeight="1">
      <c r="A32" s="1"/>
      <c r="B32" s="1"/>
      <c r="C32" s="1"/>
      <c r="D32" s="94"/>
      <c r="E32" s="1"/>
      <c r="F32" s="1"/>
      <c r="G32" s="1"/>
      <c r="H32" s="1"/>
      <c r="I32" s="1"/>
      <c r="J32" s="1"/>
      <c r="K32" s="1"/>
      <c r="L32" s="1"/>
      <c r="M32" s="1"/>
      <c r="N32" s="1"/>
      <c r="O32" s="1"/>
      <c r="P32" s="1"/>
      <c r="Q32" s="1"/>
      <c r="R32" s="1"/>
      <c r="S32" s="1"/>
      <c r="T32" s="1"/>
      <c r="U32" s="1"/>
      <c r="V32" s="1"/>
      <c r="W32" s="1"/>
      <c r="X32" s="1"/>
    </row>
    <row r="33" ht="13.5" customHeight="1">
      <c r="A33" s="1"/>
      <c r="B33" s="1"/>
      <c r="C33" s="1"/>
      <c r="D33" s="1"/>
      <c r="E33" s="1"/>
      <c r="F33" s="1"/>
      <c r="G33" s="1"/>
      <c r="H33" s="1"/>
      <c r="I33" s="1"/>
      <c r="J33" s="1"/>
      <c r="K33" s="1"/>
      <c r="L33" s="1"/>
      <c r="M33" s="1"/>
      <c r="N33" s="1"/>
      <c r="O33" s="1"/>
      <c r="P33" s="1"/>
      <c r="Q33" s="1"/>
      <c r="R33" s="1"/>
      <c r="S33" s="1"/>
      <c r="T33" s="1"/>
      <c r="U33" s="1"/>
      <c r="V33" s="1"/>
      <c r="W33" s="1"/>
      <c r="X33" s="1"/>
    </row>
    <row r="34" ht="13.5" customHeight="1">
      <c r="A34" s="1"/>
      <c r="B34" s="1"/>
      <c r="C34" s="1"/>
      <c r="D34" s="1"/>
      <c r="E34" s="1"/>
      <c r="F34" s="1"/>
      <c r="G34" s="1"/>
      <c r="H34" s="1"/>
      <c r="I34" s="1"/>
      <c r="J34" s="1"/>
      <c r="K34" s="1"/>
      <c r="L34" s="1"/>
      <c r="M34" s="1"/>
      <c r="N34" s="1"/>
      <c r="O34" s="1"/>
      <c r="P34" s="1"/>
      <c r="Q34" s="1"/>
      <c r="R34" s="1"/>
      <c r="S34" s="1"/>
      <c r="T34" s="1"/>
      <c r="U34" s="1"/>
      <c r="V34" s="1"/>
      <c r="W34" s="1"/>
      <c r="X34" s="1"/>
    </row>
    <row r="35" ht="13.5" customHeight="1">
      <c r="A35" s="1"/>
      <c r="B35" s="1"/>
      <c r="C35" s="1"/>
      <c r="D35" s="1"/>
      <c r="E35" s="1"/>
      <c r="F35" s="1"/>
      <c r="G35" s="1"/>
      <c r="H35" s="1"/>
      <c r="I35" s="1"/>
      <c r="J35" s="1"/>
      <c r="K35" s="1"/>
      <c r="L35" s="1"/>
      <c r="M35" s="1"/>
      <c r="N35" s="1"/>
      <c r="O35" s="1"/>
      <c r="P35" s="1"/>
      <c r="Q35" s="1"/>
      <c r="R35" s="1"/>
      <c r="S35" s="1"/>
      <c r="T35" s="1"/>
      <c r="U35" s="1"/>
      <c r="V35" s="1"/>
      <c r="W35" s="1"/>
      <c r="X35" s="1"/>
    </row>
    <row r="36" ht="13.5" customHeight="1">
      <c r="A36" s="1"/>
      <c r="B36" s="1"/>
      <c r="C36" s="1"/>
      <c r="D36" s="1"/>
      <c r="E36" s="1"/>
      <c r="F36" s="1"/>
      <c r="G36" s="1"/>
      <c r="H36" s="1"/>
      <c r="I36" s="1"/>
      <c r="J36" s="1"/>
      <c r="K36" s="1"/>
      <c r="L36" s="1"/>
      <c r="M36" s="1"/>
      <c r="N36" s="1"/>
      <c r="O36" s="1"/>
      <c r="P36" s="1"/>
      <c r="Q36" s="1"/>
      <c r="R36" s="1"/>
      <c r="S36" s="1"/>
      <c r="T36" s="1"/>
      <c r="U36" s="1"/>
      <c r="V36" s="1"/>
      <c r="W36" s="1"/>
      <c r="X36" s="1"/>
    </row>
    <row r="37" ht="13.5" customHeight="1">
      <c r="A37" s="1"/>
      <c r="B37" s="1"/>
      <c r="C37" s="1"/>
      <c r="D37" s="1"/>
      <c r="E37" s="1"/>
      <c r="F37" s="1"/>
      <c r="G37" s="1"/>
      <c r="H37" s="1"/>
      <c r="I37" s="1"/>
      <c r="J37" s="1"/>
      <c r="K37" s="1"/>
      <c r="L37" s="1"/>
      <c r="M37" s="1"/>
      <c r="N37" s="1"/>
      <c r="O37" s="1"/>
      <c r="P37" s="1"/>
      <c r="Q37" s="1"/>
      <c r="R37" s="1"/>
      <c r="S37" s="1"/>
      <c r="T37" s="1"/>
      <c r="U37" s="1"/>
      <c r="V37" s="1"/>
      <c r="W37" s="1"/>
      <c r="X37" s="1"/>
    </row>
    <row r="38" ht="13.5" customHeight="1">
      <c r="A38" s="1"/>
      <c r="B38" s="1"/>
      <c r="C38" s="1"/>
      <c r="D38" s="1"/>
      <c r="E38" s="1"/>
      <c r="F38" s="1"/>
      <c r="G38" s="1"/>
      <c r="H38" s="1"/>
      <c r="I38" s="1"/>
      <c r="J38" s="1"/>
      <c r="K38" s="1"/>
      <c r="L38" s="1"/>
      <c r="M38" s="1"/>
      <c r="N38" s="1"/>
      <c r="O38" s="1"/>
      <c r="P38" s="1"/>
      <c r="Q38" s="1"/>
      <c r="R38" s="1"/>
      <c r="S38" s="1"/>
      <c r="T38" s="1"/>
      <c r="U38" s="1"/>
      <c r="V38" s="1"/>
      <c r="W38" s="1"/>
      <c r="X38" s="1"/>
    </row>
    <row r="39" ht="13.5" customHeight="1">
      <c r="A39" s="1"/>
      <c r="B39" s="1"/>
      <c r="C39" s="1"/>
      <c r="D39" s="1"/>
      <c r="E39" s="1"/>
      <c r="F39" s="1"/>
      <c r="G39" s="1"/>
      <c r="H39" s="1"/>
      <c r="I39" s="1"/>
      <c r="J39" s="1"/>
      <c r="K39" s="1"/>
      <c r="L39" s="1"/>
      <c r="M39" s="1"/>
      <c r="N39" s="1"/>
      <c r="O39" s="1"/>
      <c r="P39" s="1"/>
      <c r="Q39" s="1"/>
      <c r="R39" s="1"/>
      <c r="S39" s="1"/>
      <c r="T39" s="1"/>
      <c r="U39" s="1"/>
      <c r="V39" s="1"/>
      <c r="W39" s="1"/>
      <c r="X39" s="1"/>
    </row>
    <row r="40" ht="13.5" customHeight="1">
      <c r="A40" s="1"/>
      <c r="B40" s="1"/>
      <c r="C40" s="1"/>
      <c r="D40" s="1"/>
      <c r="E40" s="1"/>
      <c r="F40" s="1"/>
      <c r="G40" s="1"/>
      <c r="H40" s="1"/>
      <c r="I40" s="1"/>
      <c r="J40" s="1"/>
      <c r="K40" s="1"/>
      <c r="L40" s="1"/>
      <c r="M40" s="1"/>
      <c r="N40" s="1"/>
      <c r="O40" s="1"/>
      <c r="P40" s="1"/>
      <c r="Q40" s="1"/>
      <c r="R40" s="1"/>
      <c r="S40" s="1"/>
      <c r="T40" s="1"/>
      <c r="U40" s="1"/>
      <c r="V40" s="1"/>
      <c r="W40" s="1"/>
      <c r="X40" s="1"/>
    </row>
    <row r="41" ht="13.5" customHeight="1">
      <c r="A41" s="1"/>
      <c r="B41" s="1"/>
      <c r="C41" s="1"/>
      <c r="D41" s="1"/>
      <c r="E41" s="1"/>
      <c r="F41" s="1"/>
      <c r="G41" s="1"/>
      <c r="H41" s="1"/>
      <c r="I41" s="1"/>
      <c r="J41" s="1"/>
      <c r="K41" s="1"/>
      <c r="L41" s="1"/>
      <c r="M41" s="1"/>
      <c r="N41" s="1"/>
      <c r="O41" s="1"/>
      <c r="P41" s="1"/>
      <c r="Q41" s="1"/>
      <c r="R41" s="1"/>
      <c r="S41" s="1"/>
      <c r="T41" s="1"/>
      <c r="U41" s="1"/>
      <c r="V41" s="1"/>
      <c r="W41" s="1"/>
      <c r="X41" s="1"/>
    </row>
    <row r="42" ht="13.5" customHeight="1">
      <c r="A42" s="1"/>
      <c r="B42" s="1"/>
      <c r="C42" s="1"/>
      <c r="D42" s="1"/>
      <c r="E42" s="1"/>
      <c r="F42" s="1"/>
      <c r="G42" s="1"/>
      <c r="H42" s="1"/>
      <c r="I42" s="1"/>
      <c r="J42" s="1"/>
      <c r="K42" s="1"/>
      <c r="L42" s="1"/>
      <c r="M42" s="1"/>
      <c r="N42" s="1"/>
      <c r="O42" s="1"/>
      <c r="P42" s="1"/>
      <c r="Q42" s="1"/>
      <c r="R42" s="1"/>
      <c r="S42" s="1"/>
      <c r="T42" s="1"/>
      <c r="U42" s="1"/>
      <c r="V42" s="1"/>
      <c r="W42" s="1"/>
      <c r="X42" s="1"/>
    </row>
    <row r="43" ht="13.5" customHeight="1">
      <c r="A43" s="1"/>
      <c r="B43" s="1"/>
      <c r="C43" s="1"/>
      <c r="D43" s="1"/>
      <c r="E43" s="1"/>
      <c r="F43" s="1"/>
      <c r="G43" s="1"/>
      <c r="H43" s="1"/>
      <c r="I43" s="1"/>
      <c r="J43" s="1"/>
      <c r="K43" s="1"/>
      <c r="L43" s="1"/>
      <c r="M43" s="1"/>
      <c r="N43" s="1"/>
      <c r="O43" s="1"/>
      <c r="P43" s="1"/>
      <c r="Q43" s="1"/>
      <c r="R43" s="1"/>
      <c r="S43" s="1"/>
      <c r="T43" s="1"/>
      <c r="U43" s="1"/>
      <c r="V43" s="1"/>
      <c r="W43" s="1"/>
      <c r="X43" s="1"/>
    </row>
    <row r="44" ht="13.5" customHeight="1">
      <c r="A44" s="1"/>
      <c r="B44" s="1"/>
      <c r="C44" s="1"/>
      <c r="D44" s="1"/>
      <c r="E44" s="1"/>
      <c r="F44" s="1"/>
      <c r="G44" s="1"/>
      <c r="H44" s="1"/>
      <c r="I44" s="1"/>
      <c r="J44" s="1"/>
      <c r="K44" s="1"/>
      <c r="L44" s="1"/>
      <c r="M44" s="1"/>
      <c r="N44" s="1"/>
      <c r="O44" s="1"/>
      <c r="P44" s="1"/>
      <c r="Q44" s="1"/>
      <c r="R44" s="1"/>
      <c r="S44" s="1"/>
      <c r="T44" s="1"/>
      <c r="U44" s="1"/>
      <c r="V44" s="1"/>
      <c r="W44" s="1"/>
      <c r="X44" s="1"/>
    </row>
    <row r="45" ht="13.5" customHeight="1">
      <c r="A45" s="1"/>
      <c r="B45" s="1"/>
      <c r="C45" s="1"/>
      <c r="D45" s="1"/>
      <c r="E45" s="1"/>
      <c r="F45" s="1"/>
      <c r="G45" s="1"/>
      <c r="H45" s="1"/>
      <c r="I45" s="1"/>
      <c r="J45" s="1"/>
      <c r="K45" s="1"/>
      <c r="L45" s="1"/>
      <c r="M45" s="1"/>
      <c r="N45" s="1"/>
      <c r="O45" s="1"/>
      <c r="P45" s="1"/>
      <c r="Q45" s="1"/>
      <c r="R45" s="1"/>
      <c r="S45" s="1"/>
      <c r="T45" s="1"/>
      <c r="U45" s="1"/>
      <c r="V45" s="1"/>
      <c r="W45" s="1"/>
      <c r="X45" s="1"/>
    </row>
    <row r="46" ht="13.5" customHeight="1">
      <c r="A46" s="1"/>
      <c r="B46" s="1"/>
      <c r="C46" s="1"/>
      <c r="D46" s="1"/>
      <c r="E46" s="1"/>
      <c r="F46" s="1"/>
      <c r="G46" s="1"/>
      <c r="H46" s="1"/>
      <c r="I46" s="1"/>
      <c r="J46" s="1"/>
      <c r="K46" s="1"/>
      <c r="L46" s="1"/>
      <c r="M46" s="1"/>
      <c r="N46" s="1"/>
      <c r="O46" s="1"/>
      <c r="P46" s="1"/>
      <c r="Q46" s="1"/>
      <c r="R46" s="1"/>
      <c r="S46" s="1"/>
      <c r="T46" s="1"/>
      <c r="U46" s="1"/>
      <c r="V46" s="1"/>
      <c r="W46" s="1"/>
      <c r="X46" s="1"/>
    </row>
    <row r="47" ht="13.5" customHeight="1">
      <c r="A47" s="1"/>
      <c r="B47" s="1"/>
      <c r="C47" s="1"/>
      <c r="D47" s="1"/>
      <c r="E47" s="1"/>
      <c r="F47" s="1"/>
      <c r="G47" s="1"/>
      <c r="H47" s="1"/>
      <c r="I47" s="1"/>
      <c r="J47" s="1"/>
      <c r="K47" s="1"/>
      <c r="L47" s="1"/>
      <c r="M47" s="1"/>
      <c r="N47" s="1"/>
      <c r="O47" s="1"/>
      <c r="P47" s="1"/>
      <c r="Q47" s="1"/>
      <c r="R47" s="1"/>
      <c r="S47" s="1"/>
      <c r="T47" s="1"/>
      <c r="U47" s="1"/>
      <c r="V47" s="1"/>
      <c r="W47" s="1"/>
      <c r="X47" s="1"/>
    </row>
    <row r="48" ht="13.5" customHeight="1">
      <c r="A48" s="1"/>
      <c r="B48" s="1"/>
      <c r="C48" s="1"/>
      <c r="D48" s="1"/>
      <c r="E48" s="1"/>
      <c r="F48" s="1"/>
      <c r="G48" s="1"/>
      <c r="H48" s="1"/>
      <c r="I48" s="1"/>
      <c r="J48" s="1"/>
      <c r="K48" s="1"/>
      <c r="L48" s="1"/>
      <c r="M48" s="1"/>
      <c r="N48" s="1"/>
      <c r="O48" s="1"/>
      <c r="P48" s="1"/>
      <c r="Q48" s="1"/>
      <c r="R48" s="1"/>
      <c r="S48" s="1"/>
      <c r="T48" s="1"/>
      <c r="U48" s="1"/>
      <c r="V48" s="1"/>
      <c r="W48" s="1"/>
      <c r="X48" s="1"/>
    </row>
    <row r="49" ht="13.5" customHeight="1">
      <c r="A49" s="1"/>
      <c r="B49" s="1"/>
      <c r="C49" s="1"/>
      <c r="D49" s="1"/>
      <c r="E49" s="1"/>
      <c r="F49" s="1"/>
      <c r="G49" s="1"/>
      <c r="H49" s="1"/>
      <c r="I49" s="1"/>
      <c r="J49" s="1"/>
      <c r="K49" s="1"/>
      <c r="L49" s="1"/>
      <c r="M49" s="1"/>
      <c r="N49" s="1"/>
      <c r="O49" s="1"/>
      <c r="P49" s="1"/>
      <c r="Q49" s="1"/>
      <c r="R49" s="1"/>
      <c r="S49" s="1"/>
      <c r="T49" s="1"/>
      <c r="U49" s="1"/>
      <c r="V49" s="1"/>
      <c r="W49" s="1"/>
      <c r="X49" s="1"/>
    </row>
    <row r="50" ht="13.5" customHeight="1">
      <c r="A50" s="1"/>
      <c r="B50" s="1"/>
      <c r="C50" s="1"/>
      <c r="D50" s="1"/>
      <c r="E50" s="1"/>
      <c r="F50" s="1"/>
      <c r="G50" s="1"/>
      <c r="H50" s="1"/>
      <c r="I50" s="1"/>
      <c r="J50" s="1"/>
      <c r="K50" s="1"/>
      <c r="L50" s="1"/>
      <c r="M50" s="1"/>
      <c r="N50" s="1"/>
      <c r="O50" s="1"/>
      <c r="P50" s="1"/>
      <c r="Q50" s="1"/>
      <c r="R50" s="1"/>
      <c r="S50" s="1"/>
      <c r="T50" s="1"/>
      <c r="U50" s="1"/>
      <c r="V50" s="1"/>
      <c r="W50" s="1"/>
      <c r="X50" s="1"/>
    </row>
    <row r="51" ht="13.5" customHeight="1">
      <c r="A51" s="1"/>
      <c r="B51" s="1"/>
      <c r="C51" s="1"/>
      <c r="D51" s="1"/>
      <c r="E51" s="1"/>
      <c r="F51" s="1"/>
      <c r="G51" s="1"/>
      <c r="H51" s="1"/>
      <c r="I51" s="1"/>
      <c r="J51" s="1"/>
      <c r="K51" s="1"/>
      <c r="L51" s="1"/>
      <c r="M51" s="1"/>
      <c r="N51" s="1"/>
      <c r="O51" s="1"/>
      <c r="P51" s="1"/>
      <c r="Q51" s="1"/>
      <c r="R51" s="1"/>
      <c r="S51" s="1"/>
      <c r="T51" s="1"/>
      <c r="U51" s="1"/>
      <c r="V51" s="1"/>
      <c r="W51" s="1"/>
      <c r="X51" s="1"/>
    </row>
    <row r="52" ht="13.5" customHeight="1">
      <c r="A52" s="1"/>
      <c r="B52" s="1"/>
      <c r="C52" s="1"/>
      <c r="D52" s="1"/>
      <c r="E52" s="1"/>
      <c r="F52" s="1"/>
      <c r="G52" s="1"/>
      <c r="H52" s="1"/>
      <c r="I52" s="1"/>
      <c r="J52" s="1"/>
      <c r="K52" s="1"/>
      <c r="L52" s="1"/>
      <c r="M52" s="1"/>
      <c r="N52" s="1"/>
      <c r="O52" s="1"/>
      <c r="P52" s="1"/>
      <c r="Q52" s="1"/>
      <c r="R52" s="1"/>
      <c r="S52" s="1"/>
      <c r="T52" s="1"/>
      <c r="U52" s="1"/>
      <c r="V52" s="1"/>
      <c r="W52" s="1"/>
      <c r="X52" s="1"/>
    </row>
    <row r="53" ht="13.5" customHeight="1">
      <c r="A53" s="1"/>
      <c r="B53" s="1"/>
      <c r="C53" s="1"/>
      <c r="D53" s="1"/>
      <c r="E53" s="1"/>
      <c r="F53" s="1"/>
      <c r="G53" s="1"/>
      <c r="H53" s="1"/>
      <c r="I53" s="1"/>
      <c r="J53" s="1"/>
      <c r="K53" s="1"/>
      <c r="L53" s="1"/>
      <c r="M53" s="1"/>
      <c r="N53" s="1"/>
      <c r="O53" s="1"/>
      <c r="P53" s="1"/>
      <c r="Q53" s="1"/>
      <c r="R53" s="1"/>
      <c r="S53" s="1"/>
      <c r="T53" s="1"/>
      <c r="U53" s="1"/>
      <c r="V53" s="1"/>
      <c r="W53" s="1"/>
      <c r="X53" s="1"/>
    </row>
    <row r="54" ht="13.5" customHeight="1">
      <c r="A54" s="1"/>
      <c r="B54" s="1"/>
      <c r="C54" s="1"/>
      <c r="D54" s="1"/>
      <c r="E54" s="1"/>
      <c r="F54" s="1"/>
      <c r="G54" s="1"/>
      <c r="H54" s="1"/>
      <c r="I54" s="1"/>
      <c r="J54" s="1"/>
      <c r="K54" s="1"/>
      <c r="L54" s="1"/>
      <c r="M54" s="1"/>
      <c r="N54" s="1"/>
      <c r="O54" s="1"/>
      <c r="P54" s="1"/>
      <c r="Q54" s="1"/>
      <c r="R54" s="1"/>
      <c r="S54" s="1"/>
      <c r="T54" s="1"/>
      <c r="U54" s="1"/>
      <c r="V54" s="1"/>
      <c r="W54" s="1"/>
      <c r="X54" s="1"/>
    </row>
    <row r="55" ht="13.5" customHeight="1">
      <c r="A55" s="1"/>
      <c r="B55" s="1"/>
      <c r="C55" s="1"/>
      <c r="D55" s="1"/>
      <c r="E55" s="1"/>
      <c r="F55" s="1"/>
      <c r="G55" s="1"/>
      <c r="H55" s="1"/>
      <c r="I55" s="1"/>
      <c r="J55" s="1"/>
      <c r="K55" s="1"/>
      <c r="L55" s="1"/>
      <c r="M55" s="1"/>
      <c r="N55" s="1"/>
      <c r="O55" s="1"/>
      <c r="P55" s="1"/>
      <c r="Q55" s="1"/>
      <c r="R55" s="1"/>
      <c r="S55" s="1"/>
      <c r="T55" s="1"/>
      <c r="U55" s="1"/>
      <c r="V55" s="1"/>
      <c r="W55" s="1"/>
      <c r="X55" s="1"/>
    </row>
    <row r="56" ht="13.5" customHeight="1">
      <c r="A56" s="1"/>
      <c r="B56" s="1"/>
      <c r="C56" s="1"/>
      <c r="D56" s="1"/>
      <c r="E56" s="1"/>
      <c r="F56" s="1"/>
      <c r="G56" s="1"/>
      <c r="H56" s="1"/>
      <c r="I56" s="1"/>
      <c r="J56" s="1"/>
      <c r="K56" s="1"/>
      <c r="L56" s="1"/>
      <c r="M56" s="1"/>
      <c r="N56" s="1"/>
      <c r="O56" s="1"/>
      <c r="P56" s="1"/>
      <c r="Q56" s="1"/>
      <c r="R56" s="1"/>
      <c r="S56" s="1"/>
      <c r="T56" s="1"/>
      <c r="U56" s="1"/>
      <c r="V56" s="1"/>
      <c r="W56" s="1"/>
      <c r="X56" s="1"/>
    </row>
    <row r="57" ht="13.5" customHeight="1">
      <c r="A57" s="1"/>
      <c r="B57" s="1"/>
      <c r="C57" s="1"/>
      <c r="D57" s="1"/>
      <c r="E57" s="1"/>
      <c r="F57" s="1"/>
      <c r="G57" s="1"/>
      <c r="H57" s="1"/>
      <c r="I57" s="1"/>
      <c r="J57" s="1"/>
      <c r="K57" s="1"/>
      <c r="L57" s="1"/>
      <c r="M57" s="1"/>
      <c r="N57" s="1"/>
      <c r="O57" s="1"/>
      <c r="P57" s="1"/>
      <c r="Q57" s="1"/>
      <c r="R57" s="1"/>
      <c r="S57" s="1"/>
      <c r="T57" s="1"/>
      <c r="U57" s="1"/>
      <c r="V57" s="1"/>
      <c r="W57" s="1"/>
      <c r="X57" s="1"/>
    </row>
    <row r="58" ht="13.5" customHeight="1">
      <c r="A58" s="1"/>
      <c r="B58" s="1"/>
      <c r="C58" s="1"/>
      <c r="D58" s="1"/>
      <c r="E58" s="1"/>
      <c r="F58" s="1"/>
      <c r="G58" s="1"/>
      <c r="H58" s="1"/>
      <c r="I58" s="1"/>
      <c r="J58" s="1"/>
      <c r="K58" s="1"/>
      <c r="L58" s="1"/>
      <c r="M58" s="1"/>
      <c r="N58" s="1"/>
      <c r="O58" s="1"/>
      <c r="P58" s="1"/>
      <c r="Q58" s="1"/>
      <c r="R58" s="1"/>
      <c r="S58" s="1"/>
      <c r="T58" s="1"/>
      <c r="U58" s="1"/>
      <c r="V58" s="1"/>
      <c r="W58" s="1"/>
      <c r="X58" s="1"/>
    </row>
    <row r="59" ht="13.5" customHeight="1">
      <c r="A59" s="1"/>
      <c r="B59" s="1"/>
      <c r="C59" s="1"/>
      <c r="D59" s="1"/>
      <c r="E59" s="1"/>
      <c r="F59" s="1"/>
      <c r="G59" s="1"/>
      <c r="H59" s="1"/>
      <c r="I59" s="1"/>
      <c r="J59" s="1"/>
      <c r="K59" s="1"/>
      <c r="L59" s="1"/>
      <c r="M59" s="1"/>
      <c r="N59" s="1"/>
      <c r="O59" s="1"/>
      <c r="P59" s="1"/>
      <c r="Q59" s="1"/>
      <c r="R59" s="1"/>
      <c r="S59" s="1"/>
      <c r="T59" s="1"/>
      <c r="U59" s="1"/>
      <c r="V59" s="1"/>
      <c r="W59" s="1"/>
      <c r="X59" s="1"/>
    </row>
    <row r="60" ht="13.5" customHeight="1">
      <c r="A60" s="1"/>
      <c r="B60" s="1"/>
      <c r="C60" s="1"/>
      <c r="D60" s="1"/>
      <c r="E60" s="1"/>
      <c r="F60" s="1"/>
      <c r="G60" s="1"/>
      <c r="H60" s="1"/>
      <c r="I60" s="1"/>
      <c r="J60" s="1"/>
      <c r="K60" s="1"/>
      <c r="L60" s="1"/>
      <c r="M60" s="1"/>
      <c r="N60" s="1"/>
      <c r="O60" s="1"/>
      <c r="P60" s="1"/>
      <c r="Q60" s="1"/>
      <c r="R60" s="1"/>
      <c r="S60" s="1"/>
      <c r="T60" s="1"/>
      <c r="U60" s="1"/>
      <c r="V60" s="1"/>
      <c r="W60" s="1"/>
      <c r="X60" s="1"/>
    </row>
    <row r="61" ht="13.5" customHeight="1">
      <c r="A61" s="1"/>
      <c r="B61" s="1"/>
      <c r="C61" s="1"/>
      <c r="D61" s="1"/>
      <c r="E61" s="1"/>
      <c r="F61" s="1"/>
      <c r="G61" s="1"/>
      <c r="H61" s="1"/>
      <c r="I61" s="1"/>
      <c r="J61" s="1"/>
      <c r="K61" s="1"/>
      <c r="L61" s="1"/>
      <c r="M61" s="1"/>
      <c r="N61" s="1"/>
      <c r="O61" s="1"/>
      <c r="P61" s="1"/>
      <c r="Q61" s="1"/>
      <c r="R61" s="1"/>
      <c r="S61" s="1"/>
      <c r="T61" s="1"/>
      <c r="U61" s="1"/>
      <c r="V61" s="1"/>
      <c r="W61" s="1"/>
      <c r="X61" s="1"/>
    </row>
    <row r="62" ht="13.5" customHeight="1">
      <c r="A62" s="1"/>
      <c r="B62" s="1"/>
      <c r="C62" s="1"/>
      <c r="D62" s="1"/>
      <c r="E62" s="1"/>
      <c r="F62" s="1"/>
      <c r="G62" s="1"/>
      <c r="H62" s="1"/>
      <c r="I62" s="1"/>
      <c r="J62" s="1"/>
      <c r="K62" s="1"/>
      <c r="L62" s="1"/>
      <c r="M62" s="1"/>
      <c r="N62" s="1"/>
      <c r="O62" s="1"/>
      <c r="P62" s="1"/>
      <c r="Q62" s="1"/>
      <c r="R62" s="1"/>
      <c r="S62" s="1"/>
      <c r="T62" s="1"/>
      <c r="U62" s="1"/>
      <c r="V62" s="1"/>
      <c r="W62" s="1"/>
      <c r="X62" s="1"/>
    </row>
    <row r="63" ht="13.5" customHeight="1">
      <c r="A63" s="1"/>
      <c r="B63" s="1"/>
      <c r="C63" s="1"/>
      <c r="D63" s="1"/>
      <c r="E63" s="1"/>
      <c r="F63" s="1"/>
      <c r="G63" s="1"/>
      <c r="H63" s="1"/>
      <c r="I63" s="1"/>
      <c r="J63" s="1"/>
      <c r="K63" s="1"/>
      <c r="L63" s="1"/>
      <c r="M63" s="1"/>
      <c r="N63" s="1"/>
      <c r="O63" s="1"/>
      <c r="P63" s="1"/>
      <c r="Q63" s="1"/>
      <c r="R63" s="1"/>
      <c r="S63" s="1"/>
      <c r="T63" s="1"/>
      <c r="U63" s="1"/>
      <c r="V63" s="1"/>
      <c r="W63" s="1"/>
      <c r="X63" s="1"/>
    </row>
    <row r="64" ht="13.5" customHeight="1">
      <c r="A64" s="1"/>
      <c r="B64" s="1"/>
      <c r="C64" s="1"/>
      <c r="D64" s="1"/>
      <c r="E64" s="1"/>
      <c r="F64" s="1"/>
      <c r="G64" s="1"/>
      <c r="H64" s="1"/>
      <c r="I64" s="1"/>
      <c r="J64" s="1"/>
      <c r="K64" s="1"/>
      <c r="L64" s="1"/>
      <c r="M64" s="1"/>
      <c r="N64" s="1"/>
      <c r="O64" s="1"/>
      <c r="P64" s="1"/>
      <c r="Q64" s="1"/>
      <c r="R64" s="1"/>
      <c r="S64" s="1"/>
      <c r="T64" s="1"/>
      <c r="U64" s="1"/>
      <c r="V64" s="1"/>
      <c r="W64" s="1"/>
      <c r="X64" s="1"/>
    </row>
    <row r="65" ht="13.5" customHeight="1">
      <c r="A65" s="1"/>
      <c r="B65" s="1"/>
      <c r="C65" s="1"/>
      <c r="D65" s="1"/>
      <c r="E65" s="1"/>
      <c r="F65" s="1"/>
      <c r="G65" s="1"/>
      <c r="H65" s="1"/>
      <c r="I65" s="1"/>
      <c r="J65" s="1"/>
      <c r="K65" s="1"/>
      <c r="L65" s="1"/>
      <c r="M65" s="1"/>
      <c r="N65" s="1"/>
      <c r="O65" s="1"/>
      <c r="P65" s="1"/>
      <c r="Q65" s="1"/>
      <c r="R65" s="1"/>
      <c r="S65" s="1"/>
      <c r="T65" s="1"/>
      <c r="U65" s="1"/>
      <c r="V65" s="1"/>
      <c r="W65" s="1"/>
      <c r="X65" s="1"/>
    </row>
    <row r="66" ht="13.5" customHeight="1">
      <c r="A66" s="1"/>
      <c r="B66" s="1"/>
      <c r="C66" s="1"/>
      <c r="D66" s="1"/>
      <c r="E66" s="1"/>
      <c r="F66" s="1"/>
      <c r="G66" s="1"/>
      <c r="H66" s="1"/>
      <c r="I66" s="1"/>
      <c r="J66" s="1"/>
      <c r="K66" s="1"/>
      <c r="L66" s="1"/>
      <c r="M66" s="1"/>
      <c r="N66" s="1"/>
      <c r="O66" s="1"/>
      <c r="P66" s="1"/>
      <c r="Q66" s="1"/>
      <c r="R66" s="1"/>
      <c r="S66" s="1"/>
      <c r="T66" s="1"/>
      <c r="U66" s="1"/>
      <c r="V66" s="1"/>
      <c r="W66" s="1"/>
      <c r="X66" s="1"/>
    </row>
    <row r="67" ht="13.5" customHeight="1">
      <c r="A67" s="1"/>
      <c r="B67" s="1"/>
      <c r="C67" s="1"/>
      <c r="D67" s="1"/>
      <c r="E67" s="1"/>
      <c r="F67" s="1"/>
      <c r="G67" s="1"/>
      <c r="H67" s="1"/>
      <c r="I67" s="1"/>
      <c r="J67" s="1"/>
      <c r="K67" s="1"/>
      <c r="L67" s="1"/>
      <c r="M67" s="1"/>
      <c r="N67" s="1"/>
      <c r="O67" s="1"/>
      <c r="P67" s="1"/>
      <c r="Q67" s="1"/>
      <c r="R67" s="1"/>
      <c r="S67" s="1"/>
      <c r="T67" s="1"/>
      <c r="U67" s="1"/>
      <c r="V67" s="1"/>
      <c r="W67" s="1"/>
      <c r="X67" s="1"/>
    </row>
    <row r="68" ht="13.5" customHeight="1">
      <c r="A68" s="1"/>
      <c r="B68" s="1"/>
      <c r="C68" s="1"/>
      <c r="D68" s="1"/>
      <c r="E68" s="1"/>
      <c r="F68" s="1"/>
      <c r="G68" s="1"/>
      <c r="H68" s="1"/>
      <c r="I68" s="1"/>
      <c r="J68" s="1"/>
      <c r="K68" s="1"/>
      <c r="L68" s="1"/>
      <c r="M68" s="1"/>
      <c r="N68" s="1"/>
      <c r="O68" s="1"/>
      <c r="P68" s="1"/>
      <c r="Q68" s="1"/>
      <c r="R68" s="1"/>
      <c r="S68" s="1"/>
      <c r="T68" s="1"/>
      <c r="U68" s="1"/>
      <c r="V68" s="1"/>
      <c r="W68" s="1"/>
      <c r="X68" s="1"/>
    </row>
    <row r="69" ht="13.5" customHeight="1">
      <c r="A69" s="1"/>
      <c r="B69" s="1"/>
      <c r="C69" s="1"/>
      <c r="D69" s="1"/>
      <c r="E69" s="1"/>
      <c r="F69" s="1"/>
      <c r="G69" s="1"/>
      <c r="H69" s="1"/>
      <c r="I69" s="1"/>
      <c r="J69" s="1"/>
      <c r="K69" s="1"/>
      <c r="L69" s="1"/>
      <c r="M69" s="1"/>
      <c r="N69" s="1"/>
      <c r="O69" s="1"/>
      <c r="P69" s="1"/>
      <c r="Q69" s="1"/>
      <c r="R69" s="1"/>
      <c r="S69" s="1"/>
      <c r="T69" s="1"/>
      <c r="U69" s="1"/>
      <c r="V69" s="1"/>
      <c r="W69" s="1"/>
      <c r="X69" s="1"/>
    </row>
    <row r="70" ht="13.5" customHeight="1">
      <c r="A70" s="1"/>
      <c r="B70" s="1"/>
      <c r="C70" s="1"/>
      <c r="D70" s="1"/>
      <c r="E70" s="1"/>
      <c r="F70" s="1"/>
      <c r="G70" s="1"/>
      <c r="H70" s="1"/>
      <c r="I70" s="1"/>
      <c r="J70" s="1"/>
      <c r="K70" s="1"/>
      <c r="L70" s="1"/>
      <c r="M70" s="1"/>
      <c r="N70" s="1"/>
      <c r="O70" s="1"/>
      <c r="P70" s="1"/>
      <c r="Q70" s="1"/>
      <c r="R70" s="1"/>
      <c r="S70" s="1"/>
      <c r="T70" s="1"/>
      <c r="U70" s="1"/>
      <c r="V70" s="1"/>
      <c r="W70" s="1"/>
      <c r="X70" s="1"/>
    </row>
    <row r="71" ht="13.5" customHeight="1">
      <c r="A71" s="1"/>
      <c r="B71" s="1"/>
      <c r="C71" s="1"/>
      <c r="D71" s="1"/>
      <c r="E71" s="1"/>
      <c r="F71" s="1"/>
      <c r="G71" s="1"/>
      <c r="H71" s="1"/>
      <c r="I71" s="1"/>
      <c r="J71" s="1"/>
      <c r="K71" s="1"/>
      <c r="L71" s="1"/>
      <c r="M71" s="1"/>
      <c r="N71" s="1"/>
      <c r="O71" s="1"/>
      <c r="P71" s="1"/>
      <c r="Q71" s="1"/>
      <c r="R71" s="1"/>
      <c r="S71" s="1"/>
      <c r="T71" s="1"/>
      <c r="U71" s="1"/>
      <c r="V71" s="1"/>
      <c r="W71" s="1"/>
      <c r="X71" s="1"/>
    </row>
    <row r="72" ht="13.5" customHeight="1">
      <c r="A72" s="1"/>
      <c r="B72" s="1"/>
      <c r="C72" s="1"/>
      <c r="D72" s="1"/>
      <c r="E72" s="1"/>
      <c r="F72" s="1"/>
      <c r="G72" s="1"/>
      <c r="H72" s="1"/>
      <c r="I72" s="1"/>
      <c r="J72" s="1"/>
      <c r="K72" s="1"/>
      <c r="L72" s="1"/>
      <c r="M72" s="1"/>
      <c r="N72" s="1"/>
      <c r="O72" s="1"/>
      <c r="P72" s="1"/>
      <c r="Q72" s="1"/>
      <c r="R72" s="1"/>
      <c r="S72" s="1"/>
      <c r="T72" s="1"/>
      <c r="U72" s="1"/>
      <c r="V72" s="1"/>
      <c r="W72" s="1"/>
      <c r="X72" s="1"/>
    </row>
    <row r="73" ht="13.5" customHeight="1">
      <c r="A73" s="1"/>
      <c r="B73" s="1"/>
      <c r="C73" s="1"/>
      <c r="D73" s="1"/>
      <c r="E73" s="1"/>
      <c r="F73" s="1"/>
      <c r="G73" s="1"/>
      <c r="H73" s="1"/>
      <c r="I73" s="1"/>
      <c r="J73" s="1"/>
      <c r="K73" s="1"/>
      <c r="L73" s="1"/>
      <c r="M73" s="1"/>
      <c r="N73" s="1"/>
      <c r="O73" s="1"/>
      <c r="P73" s="1"/>
      <c r="Q73" s="1"/>
      <c r="R73" s="1"/>
      <c r="S73" s="1"/>
      <c r="T73" s="1"/>
      <c r="U73" s="1"/>
      <c r="V73" s="1"/>
      <c r="W73" s="1"/>
      <c r="X73" s="1"/>
    </row>
    <row r="74" ht="13.5" customHeight="1">
      <c r="A74" s="1"/>
      <c r="B74" s="1"/>
      <c r="C74" s="1"/>
      <c r="D74" s="1"/>
      <c r="E74" s="1"/>
      <c r="F74" s="1"/>
      <c r="G74" s="1"/>
      <c r="H74" s="1"/>
      <c r="I74" s="1"/>
      <c r="J74" s="1"/>
      <c r="K74" s="1"/>
      <c r="L74" s="1"/>
      <c r="M74" s="1"/>
      <c r="N74" s="1"/>
      <c r="O74" s="1"/>
      <c r="P74" s="1"/>
      <c r="Q74" s="1"/>
      <c r="R74" s="1"/>
      <c r="S74" s="1"/>
      <c r="T74" s="1"/>
      <c r="U74" s="1"/>
      <c r="V74" s="1"/>
      <c r="W74" s="1"/>
      <c r="X74" s="1"/>
    </row>
    <row r="75" ht="13.5" customHeight="1">
      <c r="A75" s="1"/>
      <c r="B75" s="1"/>
      <c r="C75" s="1"/>
      <c r="D75" s="1"/>
      <c r="E75" s="1"/>
      <c r="F75" s="1"/>
      <c r="G75" s="1"/>
      <c r="H75" s="1"/>
      <c r="I75" s="1"/>
      <c r="J75" s="1"/>
      <c r="K75" s="1"/>
      <c r="L75" s="1"/>
      <c r="M75" s="1"/>
      <c r="N75" s="1"/>
      <c r="O75" s="1"/>
      <c r="P75" s="1"/>
      <c r="Q75" s="1"/>
      <c r="R75" s="1"/>
      <c r="S75" s="1"/>
      <c r="T75" s="1"/>
      <c r="U75" s="1"/>
      <c r="V75" s="1"/>
      <c r="W75" s="1"/>
      <c r="X75" s="1"/>
    </row>
    <row r="76" ht="13.5" customHeight="1">
      <c r="A76" s="1"/>
      <c r="B76" s="1"/>
      <c r="C76" s="1"/>
      <c r="D76" s="1"/>
      <c r="E76" s="1"/>
      <c r="F76" s="1"/>
      <c r="G76" s="1"/>
      <c r="H76" s="1"/>
      <c r="I76" s="1"/>
      <c r="J76" s="1"/>
      <c r="K76" s="1"/>
      <c r="L76" s="1"/>
      <c r="M76" s="1"/>
      <c r="N76" s="1"/>
      <c r="O76" s="1"/>
      <c r="P76" s="1"/>
      <c r="Q76" s="1"/>
      <c r="R76" s="1"/>
      <c r="S76" s="1"/>
      <c r="T76" s="1"/>
      <c r="U76" s="1"/>
      <c r="V76" s="1"/>
      <c r="W76" s="1"/>
      <c r="X76" s="1"/>
    </row>
    <row r="77" ht="13.5" customHeight="1">
      <c r="A77" s="1"/>
      <c r="B77" s="1"/>
      <c r="C77" s="1"/>
      <c r="D77" s="1"/>
      <c r="E77" s="1"/>
      <c r="F77" s="1"/>
      <c r="G77" s="1"/>
      <c r="H77" s="1"/>
      <c r="I77" s="1"/>
      <c r="J77" s="1"/>
      <c r="K77" s="1"/>
      <c r="L77" s="1"/>
      <c r="M77" s="1"/>
      <c r="N77" s="1"/>
      <c r="O77" s="1"/>
      <c r="P77" s="1"/>
      <c r="Q77" s="1"/>
      <c r="R77" s="1"/>
      <c r="S77" s="1"/>
      <c r="T77" s="1"/>
      <c r="U77" s="1"/>
      <c r="V77" s="1"/>
      <c r="W77" s="1"/>
      <c r="X77" s="1"/>
    </row>
    <row r="78" ht="13.5" customHeight="1">
      <c r="A78" s="1"/>
      <c r="B78" s="1"/>
      <c r="C78" s="1"/>
      <c r="D78" s="1"/>
      <c r="E78" s="1"/>
      <c r="F78" s="1"/>
      <c r="G78" s="1"/>
      <c r="H78" s="1"/>
      <c r="I78" s="1"/>
      <c r="J78" s="1"/>
      <c r="K78" s="1"/>
      <c r="L78" s="1"/>
      <c r="M78" s="1"/>
      <c r="N78" s="1"/>
      <c r="O78" s="1"/>
      <c r="P78" s="1"/>
      <c r="Q78" s="1"/>
      <c r="R78" s="1"/>
      <c r="S78" s="1"/>
      <c r="T78" s="1"/>
      <c r="U78" s="1"/>
      <c r="V78" s="1"/>
      <c r="W78" s="1"/>
      <c r="X78" s="1"/>
    </row>
    <row r="79" ht="13.5" customHeight="1">
      <c r="A79" s="1"/>
      <c r="B79" s="1"/>
      <c r="C79" s="1"/>
      <c r="D79" s="1"/>
      <c r="E79" s="1"/>
      <c r="F79" s="1"/>
      <c r="G79" s="1"/>
      <c r="H79" s="1"/>
      <c r="I79" s="1"/>
      <c r="J79" s="1"/>
      <c r="K79" s="1"/>
      <c r="L79" s="1"/>
      <c r="M79" s="1"/>
      <c r="N79" s="1"/>
      <c r="O79" s="1"/>
      <c r="P79" s="1"/>
      <c r="Q79" s="1"/>
      <c r="R79" s="1"/>
      <c r="S79" s="1"/>
      <c r="T79" s="1"/>
      <c r="U79" s="1"/>
      <c r="V79" s="1"/>
      <c r="W79" s="1"/>
      <c r="X79" s="1"/>
    </row>
    <row r="80" ht="13.5" customHeight="1">
      <c r="A80" s="1"/>
      <c r="B80" s="1"/>
      <c r="C80" s="1"/>
      <c r="D80" s="1"/>
      <c r="E80" s="1"/>
      <c r="F80" s="1"/>
      <c r="G80" s="1"/>
      <c r="H80" s="1"/>
      <c r="I80" s="1"/>
      <c r="J80" s="1"/>
      <c r="K80" s="1"/>
      <c r="L80" s="1"/>
      <c r="M80" s="1"/>
      <c r="N80" s="1"/>
      <c r="O80" s="1"/>
      <c r="P80" s="1"/>
      <c r="Q80" s="1"/>
      <c r="R80" s="1"/>
      <c r="S80" s="1"/>
      <c r="T80" s="1"/>
      <c r="U80" s="1"/>
      <c r="V80" s="1"/>
      <c r="W80" s="1"/>
      <c r="X80" s="1"/>
    </row>
    <row r="81" ht="13.5" customHeight="1">
      <c r="A81" s="1"/>
      <c r="B81" s="1"/>
      <c r="C81" s="1"/>
      <c r="D81" s="1"/>
      <c r="E81" s="1"/>
      <c r="F81" s="1"/>
      <c r="G81" s="1"/>
      <c r="H81" s="1"/>
      <c r="I81" s="1"/>
      <c r="J81" s="1"/>
      <c r="K81" s="1"/>
      <c r="L81" s="1"/>
      <c r="M81" s="1"/>
      <c r="N81" s="1"/>
      <c r="O81" s="1"/>
      <c r="P81" s="1"/>
      <c r="Q81" s="1"/>
      <c r="R81" s="1"/>
      <c r="S81" s="1"/>
      <c r="T81" s="1"/>
      <c r="U81" s="1"/>
      <c r="V81" s="1"/>
      <c r="W81" s="1"/>
      <c r="X81" s="1"/>
    </row>
    <row r="82" ht="13.5" customHeight="1">
      <c r="A82" s="1"/>
      <c r="B82" s="1"/>
      <c r="C82" s="1"/>
      <c r="D82" s="1"/>
      <c r="E82" s="1"/>
      <c r="F82" s="1"/>
      <c r="G82" s="1"/>
      <c r="H82" s="1"/>
      <c r="I82" s="1"/>
      <c r="J82" s="1"/>
      <c r="K82" s="1"/>
      <c r="L82" s="1"/>
      <c r="M82" s="1"/>
      <c r="N82" s="1"/>
      <c r="O82" s="1"/>
      <c r="P82" s="1"/>
      <c r="Q82" s="1"/>
      <c r="R82" s="1"/>
      <c r="S82" s="1"/>
      <c r="T82" s="1"/>
      <c r="U82" s="1"/>
      <c r="V82" s="1"/>
      <c r="W82" s="1"/>
      <c r="X82" s="1"/>
    </row>
    <row r="83" ht="13.5" customHeight="1">
      <c r="A83" s="1"/>
      <c r="B83" s="1"/>
      <c r="C83" s="1"/>
      <c r="D83" s="1"/>
      <c r="E83" s="1"/>
      <c r="F83" s="1"/>
      <c r="G83" s="1"/>
      <c r="H83" s="1"/>
      <c r="I83" s="1"/>
      <c r="J83" s="1"/>
      <c r="K83" s="1"/>
      <c r="L83" s="1"/>
      <c r="M83" s="1"/>
      <c r="N83" s="1"/>
      <c r="O83" s="1"/>
      <c r="P83" s="1"/>
      <c r="Q83" s="1"/>
      <c r="R83" s="1"/>
      <c r="S83" s="1"/>
      <c r="T83" s="1"/>
      <c r="U83" s="1"/>
      <c r="V83" s="1"/>
      <c r="W83" s="1"/>
      <c r="X83" s="1"/>
    </row>
    <row r="84" ht="13.5" customHeight="1">
      <c r="A84" s="1"/>
      <c r="B84" s="1"/>
      <c r="C84" s="1"/>
      <c r="D84" s="1"/>
      <c r="E84" s="1"/>
      <c r="F84" s="1"/>
      <c r="G84" s="1"/>
      <c r="H84" s="1"/>
      <c r="I84" s="1"/>
      <c r="J84" s="1"/>
      <c r="K84" s="1"/>
      <c r="L84" s="1"/>
      <c r="M84" s="1"/>
      <c r="N84" s="1"/>
      <c r="O84" s="1"/>
      <c r="P84" s="1"/>
      <c r="Q84" s="1"/>
      <c r="R84" s="1"/>
      <c r="S84" s="1"/>
      <c r="T84" s="1"/>
      <c r="U84" s="1"/>
      <c r="V84" s="1"/>
      <c r="W84" s="1"/>
      <c r="X84" s="1"/>
    </row>
    <row r="85" ht="13.5" customHeight="1">
      <c r="A85" s="1"/>
      <c r="B85" s="1"/>
      <c r="C85" s="1"/>
      <c r="D85" s="1"/>
      <c r="E85" s="1"/>
      <c r="F85" s="1"/>
      <c r="G85" s="1"/>
      <c r="H85" s="1"/>
      <c r="I85" s="1"/>
      <c r="J85" s="1"/>
      <c r="K85" s="1"/>
      <c r="L85" s="1"/>
      <c r="M85" s="1"/>
      <c r="N85" s="1"/>
      <c r="O85" s="1"/>
      <c r="P85" s="1"/>
      <c r="Q85" s="1"/>
      <c r="R85" s="1"/>
      <c r="S85" s="1"/>
      <c r="T85" s="1"/>
      <c r="U85" s="1"/>
      <c r="V85" s="1"/>
      <c r="W85" s="1"/>
      <c r="X85" s="1"/>
    </row>
    <row r="86" ht="13.5" customHeight="1">
      <c r="A86" s="1"/>
      <c r="B86" s="1"/>
      <c r="C86" s="1"/>
      <c r="D86" s="1"/>
      <c r="E86" s="1"/>
      <c r="F86" s="1"/>
      <c r="G86" s="1"/>
      <c r="H86" s="1"/>
      <c r="I86" s="1"/>
      <c r="J86" s="1"/>
      <c r="K86" s="1"/>
      <c r="L86" s="1"/>
      <c r="M86" s="1"/>
      <c r="N86" s="1"/>
      <c r="O86" s="1"/>
      <c r="P86" s="1"/>
      <c r="Q86" s="1"/>
      <c r="R86" s="1"/>
      <c r="S86" s="1"/>
      <c r="T86" s="1"/>
      <c r="U86" s="1"/>
      <c r="V86" s="1"/>
      <c r="W86" s="1"/>
      <c r="X86" s="1"/>
    </row>
    <row r="87" ht="13.5" customHeight="1">
      <c r="A87" s="1"/>
      <c r="B87" s="1"/>
      <c r="C87" s="1"/>
      <c r="D87" s="1"/>
      <c r="E87" s="1"/>
      <c r="F87" s="1"/>
      <c r="G87" s="1"/>
      <c r="H87" s="1"/>
      <c r="I87" s="1"/>
      <c r="J87" s="1"/>
      <c r="K87" s="1"/>
      <c r="L87" s="1"/>
      <c r="M87" s="1"/>
      <c r="N87" s="1"/>
      <c r="O87" s="1"/>
      <c r="P87" s="1"/>
      <c r="Q87" s="1"/>
      <c r="R87" s="1"/>
      <c r="S87" s="1"/>
      <c r="T87" s="1"/>
      <c r="U87" s="1"/>
      <c r="V87" s="1"/>
      <c r="W87" s="1"/>
      <c r="X87" s="1"/>
    </row>
    <row r="88" ht="13.5" customHeight="1">
      <c r="A88" s="1"/>
      <c r="B88" s="1"/>
      <c r="C88" s="1"/>
      <c r="D88" s="1"/>
      <c r="E88" s="1"/>
      <c r="F88" s="1"/>
      <c r="G88" s="1"/>
      <c r="H88" s="1"/>
      <c r="I88" s="1"/>
      <c r="J88" s="1"/>
      <c r="K88" s="1"/>
      <c r="L88" s="1"/>
      <c r="M88" s="1"/>
      <c r="N88" s="1"/>
      <c r="O88" s="1"/>
      <c r="P88" s="1"/>
      <c r="Q88" s="1"/>
      <c r="R88" s="1"/>
      <c r="S88" s="1"/>
      <c r="T88" s="1"/>
      <c r="U88" s="1"/>
      <c r="V88" s="1"/>
      <c r="W88" s="1"/>
      <c r="X88" s="1"/>
    </row>
    <row r="89" ht="13.5" customHeight="1">
      <c r="A89" s="1"/>
      <c r="B89" s="1"/>
      <c r="C89" s="1"/>
      <c r="D89" s="1"/>
      <c r="E89" s="1"/>
      <c r="F89" s="1"/>
      <c r="G89" s="1"/>
      <c r="H89" s="1"/>
      <c r="I89" s="1"/>
      <c r="J89" s="1"/>
      <c r="K89" s="1"/>
      <c r="L89" s="1"/>
      <c r="M89" s="1"/>
      <c r="N89" s="1"/>
      <c r="O89" s="1"/>
      <c r="P89" s="1"/>
      <c r="Q89" s="1"/>
      <c r="R89" s="1"/>
      <c r="S89" s="1"/>
      <c r="T89" s="1"/>
      <c r="U89" s="1"/>
      <c r="V89" s="1"/>
      <c r="W89" s="1"/>
      <c r="X89" s="1"/>
    </row>
    <row r="90" ht="13.5" customHeight="1">
      <c r="A90" s="1"/>
      <c r="B90" s="1"/>
      <c r="C90" s="1"/>
      <c r="D90" s="1"/>
      <c r="E90" s="1"/>
      <c r="F90" s="1"/>
      <c r="G90" s="1"/>
      <c r="H90" s="1"/>
      <c r="I90" s="1"/>
      <c r="J90" s="1"/>
      <c r="K90" s="1"/>
      <c r="L90" s="1"/>
      <c r="M90" s="1"/>
      <c r="N90" s="1"/>
      <c r="O90" s="1"/>
      <c r="P90" s="1"/>
      <c r="Q90" s="1"/>
      <c r="R90" s="1"/>
      <c r="S90" s="1"/>
      <c r="T90" s="1"/>
      <c r="U90" s="1"/>
      <c r="V90" s="1"/>
      <c r="W90" s="1"/>
      <c r="X90" s="1"/>
    </row>
    <row r="91" ht="13.5" customHeight="1">
      <c r="A91" s="1"/>
      <c r="B91" s="1"/>
      <c r="C91" s="1"/>
      <c r="D91" s="1"/>
      <c r="E91" s="1"/>
      <c r="F91" s="1"/>
      <c r="G91" s="1"/>
      <c r="H91" s="1"/>
      <c r="I91" s="1"/>
      <c r="J91" s="1"/>
      <c r="K91" s="1"/>
      <c r="L91" s="1"/>
      <c r="M91" s="1"/>
      <c r="N91" s="1"/>
      <c r="O91" s="1"/>
      <c r="P91" s="1"/>
      <c r="Q91" s="1"/>
      <c r="R91" s="1"/>
      <c r="S91" s="1"/>
      <c r="T91" s="1"/>
      <c r="U91" s="1"/>
      <c r="V91" s="1"/>
      <c r="W91" s="1"/>
      <c r="X91" s="1"/>
    </row>
    <row r="92" ht="13.5" customHeight="1">
      <c r="A92" s="1"/>
      <c r="B92" s="1"/>
      <c r="C92" s="1"/>
      <c r="D92" s="1"/>
      <c r="E92" s="1"/>
      <c r="F92" s="1"/>
      <c r="G92" s="1"/>
      <c r="H92" s="1"/>
      <c r="I92" s="1"/>
      <c r="J92" s="1"/>
      <c r="K92" s="1"/>
      <c r="L92" s="1"/>
      <c r="M92" s="1"/>
      <c r="N92" s="1"/>
      <c r="O92" s="1"/>
      <c r="P92" s="1"/>
      <c r="Q92" s="1"/>
      <c r="R92" s="1"/>
      <c r="S92" s="1"/>
      <c r="T92" s="1"/>
      <c r="U92" s="1"/>
      <c r="V92" s="1"/>
      <c r="W92" s="1"/>
      <c r="X92" s="1"/>
    </row>
    <row r="93" ht="13.5" customHeight="1">
      <c r="A93" s="1"/>
      <c r="B93" s="1"/>
      <c r="C93" s="1"/>
      <c r="D93" s="1"/>
      <c r="E93" s="1"/>
      <c r="F93" s="1"/>
      <c r="G93" s="1"/>
      <c r="H93" s="1"/>
      <c r="I93" s="1"/>
      <c r="J93" s="1"/>
      <c r="K93" s="1"/>
      <c r="L93" s="1"/>
      <c r="M93" s="1"/>
      <c r="N93" s="1"/>
      <c r="O93" s="1"/>
      <c r="P93" s="1"/>
      <c r="Q93" s="1"/>
      <c r="R93" s="1"/>
      <c r="S93" s="1"/>
      <c r="T93" s="1"/>
      <c r="U93" s="1"/>
      <c r="V93" s="1"/>
      <c r="W93" s="1"/>
      <c r="X93" s="1"/>
    </row>
    <row r="94" ht="13.5" customHeight="1">
      <c r="A94" s="1"/>
      <c r="B94" s="1"/>
      <c r="C94" s="1"/>
      <c r="D94" s="1"/>
      <c r="E94" s="1"/>
      <c r="F94" s="1"/>
      <c r="G94" s="1"/>
      <c r="H94" s="1"/>
      <c r="I94" s="1"/>
      <c r="J94" s="1"/>
      <c r="K94" s="1"/>
      <c r="L94" s="1"/>
      <c r="M94" s="1"/>
      <c r="N94" s="1"/>
      <c r="O94" s="1"/>
      <c r="P94" s="1"/>
      <c r="Q94" s="1"/>
      <c r="R94" s="1"/>
      <c r="S94" s="1"/>
      <c r="T94" s="1"/>
      <c r="U94" s="1"/>
      <c r="V94" s="1"/>
      <c r="W94" s="1"/>
      <c r="X94" s="1"/>
    </row>
    <row r="95" ht="13.5" customHeight="1">
      <c r="A95" s="1"/>
      <c r="B95" s="1"/>
      <c r="C95" s="1"/>
      <c r="D95" s="1"/>
      <c r="E95" s="1"/>
      <c r="F95" s="1"/>
      <c r="G95" s="1"/>
      <c r="H95" s="1"/>
      <c r="I95" s="1"/>
      <c r="J95" s="1"/>
      <c r="K95" s="1"/>
      <c r="L95" s="1"/>
      <c r="M95" s="1"/>
      <c r="N95" s="1"/>
      <c r="O95" s="1"/>
      <c r="P95" s="1"/>
      <c r="Q95" s="1"/>
      <c r="R95" s="1"/>
      <c r="S95" s="1"/>
      <c r="T95" s="1"/>
      <c r="U95" s="1"/>
      <c r="V95" s="1"/>
      <c r="W95" s="1"/>
      <c r="X95" s="1"/>
    </row>
    <row r="96" ht="13.5" customHeight="1">
      <c r="A96" s="1"/>
      <c r="B96" s="1"/>
      <c r="C96" s="1"/>
      <c r="D96" s="1"/>
      <c r="E96" s="1"/>
      <c r="F96" s="1"/>
      <c r="G96" s="1"/>
      <c r="H96" s="1"/>
      <c r="I96" s="1"/>
      <c r="J96" s="1"/>
      <c r="K96" s="1"/>
      <c r="L96" s="1"/>
      <c r="M96" s="1"/>
      <c r="N96" s="1"/>
      <c r="O96" s="1"/>
      <c r="P96" s="1"/>
      <c r="Q96" s="1"/>
      <c r="R96" s="1"/>
      <c r="S96" s="1"/>
      <c r="T96" s="1"/>
      <c r="U96" s="1"/>
      <c r="V96" s="1"/>
      <c r="W96" s="1"/>
      <c r="X96" s="1"/>
    </row>
    <row r="97" ht="13.5" customHeight="1">
      <c r="A97" s="1"/>
      <c r="B97" s="1"/>
      <c r="C97" s="1"/>
      <c r="D97" s="1"/>
      <c r="E97" s="1"/>
      <c r="F97" s="1"/>
      <c r="G97" s="1"/>
      <c r="H97" s="1"/>
      <c r="I97" s="1"/>
      <c r="J97" s="1"/>
      <c r="K97" s="1"/>
      <c r="L97" s="1"/>
      <c r="M97" s="1"/>
      <c r="N97" s="1"/>
      <c r="O97" s="1"/>
      <c r="P97" s="1"/>
      <c r="Q97" s="1"/>
      <c r="R97" s="1"/>
      <c r="S97" s="1"/>
      <c r="T97" s="1"/>
      <c r="U97" s="1"/>
      <c r="V97" s="1"/>
      <c r="W97" s="1"/>
      <c r="X97" s="1"/>
    </row>
    <row r="98" ht="13.5" customHeight="1">
      <c r="A98" s="1"/>
      <c r="B98" s="1"/>
      <c r="C98" s="1"/>
      <c r="D98" s="1"/>
      <c r="E98" s="1"/>
      <c r="F98" s="1"/>
      <c r="G98" s="1"/>
      <c r="H98" s="1"/>
      <c r="I98" s="1"/>
      <c r="J98" s="1"/>
      <c r="K98" s="1"/>
      <c r="L98" s="1"/>
      <c r="M98" s="1"/>
      <c r="N98" s="1"/>
      <c r="O98" s="1"/>
      <c r="P98" s="1"/>
      <c r="Q98" s="1"/>
      <c r="R98" s="1"/>
      <c r="S98" s="1"/>
      <c r="T98" s="1"/>
      <c r="U98" s="1"/>
      <c r="V98" s="1"/>
      <c r="W98" s="1"/>
      <c r="X98" s="1"/>
    </row>
    <row r="99" ht="13.5" customHeight="1">
      <c r="A99" s="1"/>
      <c r="B99" s="1"/>
      <c r="C99" s="1"/>
      <c r="D99" s="1"/>
      <c r="E99" s="1"/>
      <c r="F99" s="1"/>
      <c r="G99" s="1"/>
      <c r="H99" s="1"/>
      <c r="I99" s="1"/>
      <c r="J99" s="1"/>
      <c r="K99" s="1"/>
      <c r="L99" s="1"/>
      <c r="M99" s="1"/>
      <c r="N99" s="1"/>
      <c r="O99" s="1"/>
      <c r="P99" s="1"/>
      <c r="Q99" s="1"/>
      <c r="R99" s="1"/>
      <c r="S99" s="1"/>
      <c r="T99" s="1"/>
      <c r="U99" s="1"/>
      <c r="V99" s="1"/>
      <c r="W99" s="1"/>
      <c r="X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row>
    <row r="1001" ht="13.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row>
    <row r="1002" ht="13.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row>
    <row r="1003" ht="13.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row>
    <row r="1004" ht="13.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row>
    <row r="1005" ht="13.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row>
    <row r="1006" ht="13.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row>
    <row r="1007" ht="13.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7.75"/>
    <col customWidth="1" min="2" max="2" width="21.0"/>
    <col customWidth="1" min="3" max="3" width="27.5"/>
    <col customWidth="1" min="4" max="4" width="21.5"/>
    <col customWidth="1" min="5" max="5" width="22.25"/>
    <col customWidth="1" min="6" max="6" width="23.13"/>
    <col customWidth="1" min="7" max="7" width="21.75"/>
    <col customWidth="1" min="8" max="8" width="21.63"/>
    <col customWidth="1" min="9" max="9" width="22.38"/>
  </cols>
  <sheetData>
    <row r="3">
      <c r="A3" s="2" t="s">
        <v>0</v>
      </c>
    </row>
    <row r="5" ht="23.25" customHeight="1">
      <c r="B5" s="9" t="s">
        <v>3</v>
      </c>
      <c r="E5" s="12"/>
      <c r="F5" s="7"/>
      <c r="G5" s="7"/>
      <c r="H5" s="1"/>
      <c r="I5" s="1"/>
      <c r="J5" s="1"/>
      <c r="K5" s="1"/>
    </row>
    <row r="6" ht="16.5" customHeight="1">
      <c r="F6" s="16"/>
      <c r="G6" s="7"/>
      <c r="H6" s="1"/>
      <c r="I6" s="1"/>
      <c r="J6" s="1"/>
      <c r="K6" s="1"/>
    </row>
    <row r="7">
      <c r="B7" s="22" t="s">
        <v>9</v>
      </c>
      <c r="C7" s="8"/>
      <c r="D7" s="8"/>
      <c r="E7" s="8"/>
      <c r="F7" s="7"/>
      <c r="G7" s="7"/>
      <c r="H7" s="1"/>
      <c r="I7" s="1"/>
      <c r="J7" s="1"/>
      <c r="K7" s="1"/>
    </row>
    <row r="8">
      <c r="C8" s="1"/>
      <c r="D8" s="1"/>
      <c r="E8" s="1"/>
      <c r="F8" s="1"/>
      <c r="G8" s="1"/>
      <c r="H8" s="1"/>
      <c r="I8" s="1"/>
      <c r="J8" s="1"/>
      <c r="K8" s="1"/>
    </row>
    <row r="9" ht="36.0" customHeight="1">
      <c r="B9" s="29" t="s">
        <v>15</v>
      </c>
      <c r="C9" s="31" t="s">
        <v>20</v>
      </c>
      <c r="D9" s="31" t="s">
        <v>23</v>
      </c>
      <c r="E9" s="31" t="s">
        <v>24</v>
      </c>
      <c r="F9" s="31" t="s">
        <v>25</v>
      </c>
      <c r="G9" s="36" t="s">
        <v>27</v>
      </c>
      <c r="H9" s="39" t="s">
        <v>31</v>
      </c>
      <c r="I9" s="42" t="s">
        <v>32</v>
      </c>
      <c r="J9" s="44"/>
      <c r="K9" s="44"/>
    </row>
    <row r="10" ht="54.75" customHeight="1">
      <c r="B10" s="46">
        <v>1.0</v>
      </c>
      <c r="C10" s="47" t="s">
        <v>33</v>
      </c>
      <c r="D10" s="58">
        <f>COUNTIF(LOG!A:A,"TC-*")</f>
        <v>10</v>
      </c>
      <c r="E10" s="60">
        <f>COUNTIF(LOG!I:I,"Pass")</f>
        <v>9</v>
      </c>
      <c r="F10" s="60">
        <f>COUNTIF(LOG!I:I,"Fail")</f>
        <v>1</v>
      </c>
      <c r="G10" s="66">
        <f>COUNTIF(LOG!L:L,"Pass")</f>
        <v>1</v>
      </c>
      <c r="H10" s="73">
        <f>COUNTIF(LOG!I:I,"Pass")+COUNTIFS(LOG!I:I,"Fail",LOG!L:L,"Pass")</f>
        <v>10</v>
      </c>
      <c r="I10" s="73">
        <f>COUNTIFS(LOG!I:I,"Fail",LOG!L:L,"&lt;&gt;Pass")</f>
        <v>0</v>
      </c>
      <c r="J10" s="44"/>
      <c r="K10" s="44"/>
    </row>
    <row r="11" ht="50.25" customHeight="1">
      <c r="B11" s="46">
        <v>2.0</v>
      </c>
      <c r="C11" s="47" t="s">
        <v>66</v>
      </c>
      <c r="D11" s="80">
        <f>COUNTIF(REGISTER!A:A,"TC-*")</f>
        <v>19</v>
      </c>
      <c r="E11" s="60">
        <f>COUNTIF(REGISTER!I:I,"Pass")</f>
        <v>11</v>
      </c>
      <c r="F11" s="60">
        <f>COUNTIF(REGISTER!I:I,"Fail")</f>
        <v>8</v>
      </c>
      <c r="G11" s="84">
        <f>COUNTIF(REGISTER!L:L,"Pass")</f>
        <v>8</v>
      </c>
      <c r="H11" s="73">
        <f>COUNTIF(REGISTER!I:I,"Pass")+COUNTIFS(REGISTER!I:I,"Fail",REGISTER!L:L,"Pass")</f>
        <v>19</v>
      </c>
      <c r="I11" s="73">
        <f>COUNTIFS(REGISTER!I:I,"Fail",REGISTER!L:L,"&lt;&gt;Pass")</f>
        <v>0</v>
      </c>
      <c r="J11" s="44"/>
      <c r="K11" s="44"/>
    </row>
    <row r="12" ht="51.0" customHeight="1">
      <c r="B12" s="46">
        <v>3.0</v>
      </c>
      <c r="C12" s="47" t="s">
        <v>97</v>
      </c>
      <c r="D12" s="80">
        <f>COUNTIF(BOOKING!A:A,"TC-*")</f>
        <v>9</v>
      </c>
      <c r="E12" s="60">
        <f>COUNTIF(BOOKING!I:I,"Pass")</f>
        <v>7</v>
      </c>
      <c r="F12" s="60">
        <f>COUNTIF(BOOKING!I:I,"Fail")</f>
        <v>2</v>
      </c>
      <c r="G12" s="84">
        <f>COUNTIF(BOOKING!L:L,"Pass")</f>
        <v>1</v>
      </c>
      <c r="H12" s="73">
        <f>COUNTIF(BOOKING!I:I,"Pass")+COUNTIFS(BOOKING!I:I,"Fail",BOOKING!L:L,"Pass")</f>
        <v>8</v>
      </c>
      <c r="I12" s="73">
        <f>COUNTIFS(BOOKING!I:I,"Fail",BOOKING!L:L,"&lt;&gt;Pass")</f>
        <v>1</v>
      </c>
      <c r="J12" s="78"/>
      <c r="K12" s="78"/>
    </row>
    <row r="13" ht="54.0" customHeight="1">
      <c r="B13" s="46">
        <v>4.0</v>
      </c>
      <c r="C13" s="47" t="s">
        <v>123</v>
      </c>
      <c r="D13" s="80">
        <f>COUNTIF(APPOINTMENT!A:A,"TC-*")</f>
        <v>9</v>
      </c>
      <c r="E13" s="60">
        <f>COUNTIF(APPOINTMENT!I:I,"Pass")</f>
        <v>5</v>
      </c>
      <c r="F13" s="60">
        <f>COUNTIF(APPOINTMENT!I:I,"Fail")</f>
        <v>4</v>
      </c>
      <c r="G13" s="60">
        <f>COUNTIF(APPOINTMENT!L:L,"Pass")</f>
        <v>3</v>
      </c>
      <c r="H13" s="95">
        <f>COUNTIF(APPOINTMENT!I:I,"Pass")+COUNTIFS(APPOINTMENT!I:I,"Fail",APPOINTMENT!L:L,"Pass")</f>
        <v>8</v>
      </c>
      <c r="I13" s="95">
        <f>COUNTIFS(APPOINTMENT!I:I,"Fail",APPOINTMENT!L:L,"&lt;&gt;Pass")</f>
        <v>1</v>
      </c>
      <c r="J13" s="78"/>
      <c r="K13" s="78"/>
    </row>
    <row r="14" ht="48.75" customHeight="1">
      <c r="B14" s="46">
        <v>5.0</v>
      </c>
      <c r="C14" s="47" t="s">
        <v>137</v>
      </c>
      <c r="D14" s="80">
        <f>COUNTIF(MEDICAL!A:A,"TC-*")</f>
        <v>9</v>
      </c>
      <c r="E14" s="60">
        <f>COUNTIF(MEDICAL!I:I,"Pass")</f>
        <v>7</v>
      </c>
      <c r="F14" s="60">
        <f>COUNTIF(MEDICAL!I:I,"Fail")</f>
        <v>2</v>
      </c>
      <c r="G14" s="60">
        <f>COUNTIF(MEDICAL!L:L,"Pass")</f>
        <v>2</v>
      </c>
      <c r="H14" s="95">
        <f>COUNTIF(MEDICAL!I:I,"Pass")+COUNTIFS(MEDICAL!I:I,"Fail",MEDICAL!L:L,"Pass")</f>
        <v>9</v>
      </c>
      <c r="I14" s="95">
        <f>COUNTIFS(MEDICAL!I:I,"Fail",MEDICAL!L:L,"&lt;&gt;Pass")</f>
        <v>0</v>
      </c>
      <c r="J14" s="44"/>
      <c r="K14" s="44"/>
    </row>
    <row r="15" ht="49.5" customHeight="1">
      <c r="B15" s="46">
        <v>6.0</v>
      </c>
      <c r="C15" s="47" t="s">
        <v>151</v>
      </c>
      <c r="D15" s="80">
        <f>COUNTIF(DS_ADMIN!A:A,"TC-*")</f>
        <v>20</v>
      </c>
      <c r="E15" s="60">
        <f>COUNTIF(DS_ADMIN!I:I,"Pass")</f>
        <v>13</v>
      </c>
      <c r="F15" s="60">
        <f>COUNTIF(DS_ADMIN!I:I,"Fail")</f>
        <v>7</v>
      </c>
      <c r="G15" s="60">
        <f>COUNTIF(DS_ADMIN!L:L,"Pass")</f>
        <v>6</v>
      </c>
      <c r="H15" s="95">
        <f>COUNTIF(DS_ADMIN!I:I,"Pass")+COUNTIFS(DS_ADMIN!I:I,"Fail",DS_ADMIN!L:L,"Pass")</f>
        <v>19</v>
      </c>
      <c r="I15" s="95">
        <f>COUNTIFS(DS_ADMIN!I:I,"Fail",DS_ADMIN!L:L,"&lt;&gt;Pass")</f>
        <v>1</v>
      </c>
      <c r="J15" s="44"/>
      <c r="K15" s="44"/>
    </row>
    <row r="16" ht="44.25" customHeight="1">
      <c r="B16" s="46">
        <v>7.0</v>
      </c>
      <c r="C16" s="47" t="s">
        <v>163</v>
      </c>
      <c r="D16" s="80">
        <f>COUNTIF(MYAPPOINTMENT!A:A,"TC-*")</f>
        <v>5</v>
      </c>
      <c r="E16" s="60">
        <f>COUNTIF(MYAPPOINTMENT!I:I,"Pass")</f>
        <v>5</v>
      </c>
      <c r="F16" s="60">
        <f>COUNTIF(MYAPPOINTMENT!I:I,"Fail")</f>
        <v>0</v>
      </c>
      <c r="G16" s="60">
        <f>COUNTIF(MYAPPOINTMENT!L:L,"Pass")</f>
        <v>0</v>
      </c>
      <c r="H16" s="95">
        <f>COUNTIF(MYAPPOINTMENT!I:I,"Pass")+COUNTIFS(MYAPPOINTMENT!I:I,"Fail",MYAPPOINTMENT!L:L,"Pass")</f>
        <v>5</v>
      </c>
      <c r="I16" s="95">
        <f>COUNTIFS(MYAPPOINTMENT!I:I,"Fail",MYAPPOINTMENT!L:L,"&lt;&gt;Pass")</f>
        <v>0</v>
      </c>
      <c r="J16" s="44"/>
      <c r="K16" s="44"/>
    </row>
    <row r="17" ht="56.25" customHeight="1">
      <c r="B17" s="46">
        <v>8.0</v>
      </c>
      <c r="C17" s="47" t="s">
        <v>176</v>
      </c>
      <c r="D17" s="80">
        <f>COUNTIF(HISTORY!A:A,"TC-*")</f>
        <v>6</v>
      </c>
      <c r="E17" s="60">
        <f>COUNTIF(HISTORY!I:I,"Pass")</f>
        <v>5</v>
      </c>
      <c r="F17" s="60">
        <f>COUNTIF(HISTORY!I:I,"Fail")</f>
        <v>1</v>
      </c>
      <c r="G17" s="60">
        <f>COUNTIF(HISTORY!L:L,"Pass")</f>
        <v>1</v>
      </c>
      <c r="H17" s="95">
        <f>COUNTIF(HISTORY!I:I,"Pass")+COUNTIFS(HISTORY!I:I,"Fail",HISTORY!L:L,"Pass")</f>
        <v>6</v>
      </c>
      <c r="I17" s="95">
        <f>COUNTIFS(HISTORY!I:I,"Fail",HISTORY!L:L,"&lt;&gt;Pass")</f>
        <v>0</v>
      </c>
      <c r="J17" s="44"/>
      <c r="K17" s="44"/>
    </row>
    <row r="18" ht="59.25" customHeight="1">
      <c r="B18" s="46">
        <v>9.0</v>
      </c>
      <c r="C18" s="47" t="s">
        <v>178</v>
      </c>
      <c r="D18" s="80">
        <f>COUNTIF(WORKSCHEDULE!A:A,"TC-*")</f>
        <v>5</v>
      </c>
      <c r="E18" s="60">
        <f>COUNTIF(WORKSCHEDULE!I:I,"Pass")</f>
        <v>5</v>
      </c>
      <c r="F18" s="60">
        <f>COUNTIF(WORKSCHEDULE!I:I,"Fail")</f>
        <v>0</v>
      </c>
      <c r="G18" s="60">
        <f>COUNTIF(WORKSCHEDULE!L:L,"Pass")</f>
        <v>0</v>
      </c>
      <c r="H18" s="95">
        <f>COUNTIF(WORKSCHEDULE!I:I,"Pass")+COUNTIFS(WORKSCHEDULE!I:I,"Fail",WORKSCHEDULE!L:L,"Pass")</f>
        <v>5</v>
      </c>
      <c r="I18" s="95">
        <f>COUNTIFS(WORKSCHEDULE!I:I,"Fail",WORKSCHEDULE!L:L,"&lt;&gt;Pass")</f>
        <v>0</v>
      </c>
      <c r="J18" s="44"/>
      <c r="K18" s="44"/>
    </row>
    <row r="19" ht="54.0" customHeight="1">
      <c r="B19" s="46">
        <v>10.0</v>
      </c>
      <c r="C19" s="47" t="s">
        <v>179</v>
      </c>
      <c r="D19" s="80">
        <f>COUNTIF(NOTIFICATION!A:A,"TC-*")</f>
        <v>9</v>
      </c>
      <c r="E19" s="60">
        <f>COUNTIF(NOTIFICATION!I:I,"Pass")</f>
        <v>4</v>
      </c>
      <c r="F19" s="60">
        <f>COUNTIF(NOTIFICATION!I:I,"Fail")</f>
        <v>5</v>
      </c>
      <c r="G19" s="60">
        <f>COUNTIF(NOTIFICATION!L:L,"Pass")</f>
        <v>4</v>
      </c>
      <c r="H19" s="95">
        <f>COUNTIF(NOTIFICATION!I:I,"Pass")+COUNTIFS(NOTIFICATION!I:I,"Fail",NOTIFICATION!L:L,"Pass")</f>
        <v>8</v>
      </c>
      <c r="I19" s="95">
        <f>COUNTIFS(NOTIFICATION!I:I,"Fail",NOTIFICATION!L:L,"&lt;&gt;Pass")</f>
        <v>1</v>
      </c>
      <c r="J19" s="44"/>
      <c r="K19" s="44"/>
    </row>
    <row r="20" ht="49.5" customHeight="1">
      <c r="B20" s="46">
        <v>11.0</v>
      </c>
      <c r="C20" s="47" t="s">
        <v>180</v>
      </c>
      <c r="D20" s="80">
        <f>COUNTIF(DOCTOR!A:A,"TC-*")</f>
        <v>4</v>
      </c>
      <c r="E20" s="60">
        <f>COUNTIF(DOCTOR!I:I,"Pass")</f>
        <v>4</v>
      </c>
      <c r="F20" s="60">
        <f>COUNTIF(DOCTOR!I:I,"Fail")</f>
        <v>0</v>
      </c>
      <c r="G20" s="60">
        <f>COUNTIF(DOCTOR!L:L,"Pass")</f>
        <v>0</v>
      </c>
      <c r="H20" s="95">
        <f>COUNTIF(DOCTOR!I:I,"Pass")+COUNTIFS(DOCTOR!I:I,"Fail",DOCTOR!L:L,"Pass")</f>
        <v>4</v>
      </c>
      <c r="I20" s="95">
        <f>COUNTIFS(DOCTOR!I:I,"Fail",DOCTOR!L:L,"&lt;&gt;Pass")</f>
        <v>0</v>
      </c>
      <c r="J20" s="44"/>
      <c r="K20" s="44"/>
    </row>
    <row r="21" ht="51.0" customHeight="1">
      <c r="B21" s="46">
        <v>12.0</v>
      </c>
      <c r="C21" s="47" t="s">
        <v>181</v>
      </c>
      <c r="D21" s="80">
        <f>COUNTIF(SPECIALTY!A:A,"TC-*")</f>
        <v>5</v>
      </c>
      <c r="E21" s="60">
        <f>COUNTIF(SPECIALTY!I:I,"Pass")</f>
        <v>5</v>
      </c>
      <c r="F21" s="60">
        <f>COUNTIF(SPECIALTY!I:I,"Fail")</f>
        <v>0</v>
      </c>
      <c r="G21" s="60">
        <f>COUNTIF(SPECIALTY!L:L,"Pass")</f>
        <v>0</v>
      </c>
      <c r="H21" s="95">
        <f>COUNTIF(SPECIALTY!I:I,"Pass")+COUNTIFS(SPECIALTY!I:I,"Fail",SPECIALTY!L:L,"Pass")</f>
        <v>5</v>
      </c>
      <c r="I21" s="95">
        <f>COUNTIFS(SPECIALTY!I:I,"Fail",SPECIALTY!L:L,"&lt;&gt;Pass")</f>
        <v>0</v>
      </c>
      <c r="J21" s="44"/>
      <c r="K21" s="44"/>
    </row>
    <row r="22" ht="48.75" customHeight="1">
      <c r="B22" s="46">
        <v>13.0</v>
      </c>
      <c r="C22" s="47" t="s">
        <v>182</v>
      </c>
      <c r="D22" s="80">
        <f>COUNTIF(DRUG_CATEGORY!A:A,"TC-*")</f>
        <v>11</v>
      </c>
      <c r="E22" s="60">
        <f>COUNTIF(DRUG_CATEGORY!I:I,"Pass")</f>
        <v>10</v>
      </c>
      <c r="F22" s="60">
        <f>COUNTIF(DRUG_CATEGORY!I:I,"Fail")</f>
        <v>1</v>
      </c>
      <c r="G22" s="60">
        <f>COUNTIF(DRUG_CATEGORY!L:L,"Pass")</f>
        <v>0</v>
      </c>
      <c r="H22" s="95">
        <f>COUNTIF(DRUG_CATEGORY!I:I,"Pass")+COUNTIFS(DRUG_CATEGORY!I:I,"Fail",DRUG_CATEGORY!L:L,"Pass")</f>
        <v>10</v>
      </c>
      <c r="I22" s="95">
        <f>COUNTIFS(DRUG_CATEGORY!I:I,"Fail",DRUG_CATEGORY!L:L,"&lt;&gt;Pass")</f>
        <v>1</v>
      </c>
      <c r="J22" s="44"/>
      <c r="K22" s="44"/>
    </row>
    <row r="23" ht="48.75" customHeight="1">
      <c r="B23" s="46">
        <v>14.0</v>
      </c>
      <c r="C23" s="47" t="s">
        <v>183</v>
      </c>
      <c r="D23" s="96">
        <f>COUNTIF(STAT!A:A,"TC-*")</f>
        <v>4</v>
      </c>
      <c r="E23" s="97">
        <f>COUNTIF(STAT!I:I,"Pass")</f>
        <v>4</v>
      </c>
      <c r="F23" s="97">
        <f>COUNTIF(STAT!I:I,"Fail")</f>
        <v>0</v>
      </c>
      <c r="G23" s="97">
        <f>COUNTIF(STAT!L:L,"Pass")</f>
        <v>0</v>
      </c>
      <c r="H23" s="98">
        <f>COUNTIF(STAT!I:I,"Pass")+COUNTIFS(STAT!I:I,"Fail",STAT!L:L,"Pass")</f>
        <v>4</v>
      </c>
      <c r="I23" s="98">
        <f>COUNTIFS(STAT!I:I,"Fail",STAT!L:L,"&lt;&gt;Pass")</f>
        <v>0</v>
      </c>
      <c r="J23" s="44"/>
      <c r="K23" s="44"/>
    </row>
    <row r="24" ht="56.25" customHeight="1">
      <c r="B24" s="99" t="s">
        <v>184</v>
      </c>
      <c r="C24" s="100"/>
      <c r="D24" s="101">
        <f t="shared" ref="D24:I24" si="1">SUM(D9:D23)</f>
        <v>125</v>
      </c>
      <c r="E24" s="102">
        <f t="shared" si="1"/>
        <v>94</v>
      </c>
      <c r="F24" s="102">
        <f t="shared" si="1"/>
        <v>31</v>
      </c>
      <c r="G24" s="102">
        <f t="shared" si="1"/>
        <v>26</v>
      </c>
      <c r="H24" s="103">
        <f t="shared" si="1"/>
        <v>120</v>
      </c>
      <c r="I24" s="103">
        <f t="shared" si="1"/>
        <v>5</v>
      </c>
      <c r="J24" s="44"/>
      <c r="K24" s="44"/>
    </row>
    <row r="25" ht="29.25" customHeight="1">
      <c r="B25" s="104"/>
      <c r="C25" s="105"/>
      <c r="D25" s="78"/>
      <c r="E25" s="78"/>
      <c r="F25" s="78"/>
      <c r="G25" s="78"/>
      <c r="H25" s="78"/>
      <c r="I25" s="78"/>
      <c r="J25" s="44"/>
      <c r="K25" s="44"/>
    </row>
    <row r="26">
      <c r="B26" s="1"/>
      <c r="C26" s="1"/>
      <c r="D26" s="1"/>
      <c r="E26" s="1"/>
      <c r="F26" s="1"/>
      <c r="G26" s="1"/>
      <c r="H26" s="1"/>
      <c r="I26" s="1"/>
      <c r="J26" s="1"/>
      <c r="K26" s="1"/>
    </row>
    <row r="27">
      <c r="B27" s="1"/>
      <c r="C27" s="1"/>
      <c r="D27" s="1"/>
      <c r="E27" s="1"/>
      <c r="F27" s="1"/>
      <c r="G27" s="1"/>
      <c r="H27" s="1"/>
      <c r="I27" s="1"/>
      <c r="J27" s="1"/>
      <c r="K27" s="1"/>
    </row>
  </sheetData>
  <mergeCells count="2">
    <mergeCell ref="B5:D5"/>
    <mergeCell ref="B24:C2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35.63"/>
    <col customWidth="1" min="4" max="6" width="8.88"/>
    <col customWidth="1" min="7" max="7" width="18.88"/>
    <col customWidth="1" min="8" max="26" width="8.88"/>
  </cols>
  <sheetData>
    <row r="1" ht="13.5" customHeight="1">
      <c r="A1" s="3" t="s">
        <v>1</v>
      </c>
      <c r="B1" s="5"/>
      <c r="C1" s="8"/>
      <c r="D1" s="8"/>
      <c r="E1" s="8"/>
      <c r="F1" s="8"/>
      <c r="G1" s="13"/>
    </row>
    <row r="2" ht="14.25" customHeight="1">
      <c r="A2" s="3"/>
      <c r="B2" s="5"/>
      <c r="C2" s="8"/>
      <c r="D2" s="8"/>
      <c r="E2" s="8"/>
      <c r="F2" s="8"/>
      <c r="G2" s="13"/>
    </row>
    <row r="3" ht="13.5" customHeight="1">
      <c r="B3" s="8" t="s">
        <v>5</v>
      </c>
      <c r="C3" s="19" t="s">
        <v>7</v>
      </c>
      <c r="D3" s="8"/>
      <c r="E3" s="8"/>
      <c r="F3" s="8"/>
      <c r="G3" s="13"/>
    </row>
    <row r="4" ht="13.5" customHeight="1">
      <c r="B4" s="8" t="s">
        <v>11</v>
      </c>
      <c r="C4" s="24">
        <v>46257.0</v>
      </c>
      <c r="D4" s="8"/>
      <c r="E4" s="8"/>
      <c r="F4" s="8"/>
      <c r="G4" s="8"/>
    </row>
    <row r="5" ht="13.5" customHeight="1">
      <c r="A5" s="8"/>
      <c r="B5" s="8"/>
      <c r="C5" s="8"/>
      <c r="D5" s="8"/>
      <c r="E5" s="8"/>
      <c r="F5" s="8"/>
      <c r="G5" s="8"/>
    </row>
    <row r="6" ht="13.5" customHeight="1">
      <c r="A6" s="8"/>
      <c r="B6" s="8"/>
      <c r="C6" s="8"/>
      <c r="D6" s="8"/>
      <c r="E6" s="8"/>
      <c r="F6" s="8"/>
      <c r="G6" s="8"/>
    </row>
    <row r="7" ht="13.5" customHeight="1">
      <c r="A7" s="8"/>
      <c r="B7" s="30" t="s">
        <v>16</v>
      </c>
      <c r="C7" s="32" t="s">
        <v>22</v>
      </c>
      <c r="D7" s="34" t="s">
        <v>26</v>
      </c>
      <c r="E7" s="32" t="s">
        <v>28</v>
      </c>
      <c r="F7" s="32" t="s">
        <v>29</v>
      </c>
      <c r="G7" s="38" t="s">
        <v>30</v>
      </c>
    </row>
    <row r="8" ht="19.5" customHeight="1">
      <c r="A8" s="41"/>
      <c r="B8" s="49">
        <f t="shared" ref="B8:B21" si="1">ROW()-7</f>
        <v>1</v>
      </c>
      <c r="C8" s="55" t="str">
        <f>LOG!B4</f>
        <v>AUTH - Login</v>
      </c>
      <c r="D8" s="67">
        <f>COUNTIFS(LOG!A:A,"TC-*",LOG!L:L,"Pass")+COUNTIFS(LOG!A:A,"TC-*",LOG!L:L,"",LOG!I:I,"Pass")</f>
        <v>10</v>
      </c>
      <c r="E8" s="75">
        <f>COUNTIFS(LOG!A:A,"TC-*",LOG!L:L,"Fail")+COUNTIFS(LOG!A:A,"TC-*",LOG!L:L,"",LOG!I:I,"Fail")</f>
        <v>0</v>
      </c>
      <c r="F8" s="75">
        <f>COUNTIFS(LOG!A:A,"TC-*",LOG!L:L,"Pending")+COUNTIFS(LOG!A:A,"TC-*",LOG!L:L,"",LOG!I:I,"Pending")</f>
        <v>0</v>
      </c>
      <c r="G8" s="82">
        <f>COUNTIF(LOG!A:A,"TC-*")</f>
        <v>10</v>
      </c>
      <c r="H8" s="83"/>
      <c r="I8" s="83"/>
      <c r="J8" s="83"/>
      <c r="K8" s="83"/>
      <c r="L8" s="83"/>
      <c r="M8" s="83"/>
      <c r="N8" s="83"/>
      <c r="O8" s="83"/>
      <c r="P8" s="83"/>
      <c r="Q8" s="83"/>
      <c r="R8" s="83"/>
      <c r="S8" s="83"/>
      <c r="T8" s="83"/>
      <c r="U8" s="83"/>
      <c r="V8" s="83"/>
      <c r="W8" s="83"/>
      <c r="X8" s="83"/>
      <c r="Y8" s="83"/>
      <c r="Z8" s="83"/>
    </row>
    <row r="9" ht="18.75" customHeight="1">
      <c r="A9" s="41"/>
      <c r="B9" s="49">
        <f t="shared" si="1"/>
        <v>2</v>
      </c>
      <c r="C9" s="75" t="str">
        <f>REGISTER!B4</f>
        <v>AUTH - Register</v>
      </c>
      <c r="D9" s="67">
        <f>COUNTIFS(REGISTER!A:A,"TC-*",REGISTER!L:L,"Pass")+COUNTIFS(REGISTER!A:A,"TC-*",REGISTER!L:L,"",REGISTER!I:I,"Pass")</f>
        <v>19</v>
      </c>
      <c r="E9" s="75">
        <f>COUNTIFS(REGISTER!A:A,"TC-*",REGISTER!L:L,"Fail")+COUNTIFS(REGISTER!A:A,"TC-*",REGISTER!L:L,"",REGISTER!I:I,"Fail")</f>
        <v>0</v>
      </c>
      <c r="F9" s="75">
        <f>COUNTIFS(REGISTER!A:A,"TC-*",REGISTER!L:L,"Pending")+COUNTIFS(REGISTER!A:A,"TC-*",REGISTER!L:L,"",REGISTER!I:I,"Pending")</f>
        <v>0</v>
      </c>
      <c r="G9" s="82">
        <f>COUNTIF(REGISTER!A:A,"TC-*")</f>
        <v>19</v>
      </c>
      <c r="H9" s="83"/>
      <c r="I9" s="83"/>
      <c r="J9" s="83"/>
      <c r="K9" s="83"/>
      <c r="L9" s="83"/>
      <c r="M9" s="83"/>
      <c r="N9" s="83"/>
      <c r="O9" s="83"/>
      <c r="P9" s="83"/>
      <c r="Q9" s="83"/>
      <c r="R9" s="83"/>
      <c r="S9" s="83"/>
      <c r="T9" s="83"/>
      <c r="U9" s="83"/>
      <c r="V9" s="83"/>
      <c r="W9" s="83"/>
      <c r="X9" s="83"/>
      <c r="Y9" s="83"/>
      <c r="Z9" s="83"/>
    </row>
    <row r="10" ht="31.5" customHeight="1">
      <c r="A10" s="41"/>
      <c r="B10" s="49">
        <f t="shared" si="1"/>
        <v>3</v>
      </c>
      <c r="C10" s="75" t="str">
        <f>BOOKING!B4</f>
        <v>BOOKING - Appointment Booking</v>
      </c>
      <c r="D10" s="67">
        <f>COUNTIFS(BOOKING!A:A,"TC-*",BOOKING!L:L,"Pass")+COUNTIFS(BOOKING!A:A,"TC-*",BOOKING!L:L,"",BOOKING!I:I,"Pass")</f>
        <v>8</v>
      </c>
      <c r="E10" s="75">
        <f>COUNTIFS(BOOKING!A:A,"TC-*",BOOKING!L:L,"Fail")+COUNTIFS(BOOKING!A:A,"TC-*",BOOKING!L:L,"",BOOKING!I:I,"Fail")</f>
        <v>1</v>
      </c>
      <c r="F10" s="75">
        <f>COUNTIFS(BOOKING!A:A,"TC-*",BOOKING!L:L,"Pending")+COUNTIFS(BOOKING!A:A,"TC-*",BOOKING!L:L,"",BOOKING!I:I,"Pending")</f>
        <v>0</v>
      </c>
      <c r="G10" s="82">
        <f>COUNTIF(BOOKING!A:A,"TC-*")</f>
        <v>9</v>
      </c>
      <c r="H10" s="83"/>
      <c r="I10" s="83"/>
      <c r="J10" s="83"/>
      <c r="K10" s="83"/>
      <c r="L10" s="83"/>
      <c r="M10" s="83"/>
      <c r="N10" s="83"/>
      <c r="O10" s="83"/>
      <c r="P10" s="83"/>
      <c r="Q10" s="83"/>
      <c r="R10" s="83"/>
      <c r="S10" s="83"/>
      <c r="T10" s="83"/>
      <c r="U10" s="83"/>
      <c r="V10" s="83"/>
      <c r="W10" s="83"/>
      <c r="X10" s="83"/>
      <c r="Y10" s="83"/>
      <c r="Z10" s="83"/>
    </row>
    <row r="11" ht="30.75" customHeight="1">
      <c r="A11" s="41"/>
      <c r="B11" s="49">
        <f t="shared" si="1"/>
        <v>4</v>
      </c>
      <c r="C11" s="75" t="str">
        <f>APPOINTMENT!B4</f>
        <v>APPOINTMENT - Appointment Management</v>
      </c>
      <c r="D11" s="67">
        <f>COUNTIFS(APPOINTMENT!A:A,"TC-*",APPOINTMENT!L:L,"Pass")+COUNTIFS(APPOINTMENT!A:A,"TC-*",APPOINTMENT!L:L,"",APPOINTMENT!I:I,"Pass")</f>
        <v>8</v>
      </c>
      <c r="E11" s="75">
        <f>COUNTIFS(APPOINTMENT!A:A,"TC-*",APPOINTMENT!L:L,"Fail")+COUNTIFS(APPOINTMENT!A:A,"TC-*",APPOINTMENT!L:L,"",APPOINTMENT!I:I,"Fail")</f>
        <v>1</v>
      </c>
      <c r="F11" s="75">
        <f>COUNTIFS(APPOINTMENT!A:A,"TC-*",APPOINTMENT!L:L,"Pending")+COUNTIFS(APPOINTMENT!A:A,"TC-*",APPOINTMENT!L:L,"",APPOINTMENT!I:I,"Pending")</f>
        <v>0</v>
      </c>
      <c r="G11" s="82">
        <f>COUNTIF(APPOINTMENT!A:A,"TC-*")</f>
        <v>9</v>
      </c>
      <c r="H11" s="83"/>
      <c r="I11" s="83"/>
      <c r="J11" s="83"/>
      <c r="K11" s="83"/>
      <c r="L11" s="83"/>
      <c r="M11" s="83"/>
      <c r="N11" s="83"/>
      <c r="O11" s="83"/>
      <c r="P11" s="83"/>
      <c r="Q11" s="83"/>
      <c r="R11" s="83"/>
      <c r="S11" s="83"/>
      <c r="T11" s="83"/>
      <c r="U11" s="83"/>
      <c r="V11" s="83"/>
      <c r="W11" s="83"/>
      <c r="X11" s="83"/>
      <c r="Y11" s="83"/>
      <c r="Z11" s="83"/>
    </row>
    <row r="12" ht="29.25" customHeight="1">
      <c r="A12" s="41"/>
      <c r="B12" s="49">
        <f t="shared" si="1"/>
        <v>5</v>
      </c>
      <c r="C12" s="75" t="str">
        <f>MEDICAL!B4</f>
        <v>MEDICAL - Medical Record Management</v>
      </c>
      <c r="D12" s="67">
        <f>COUNTIFS(MEDICAL!A:A,"TC-*",MEDICAL!L:L,"Pass")+COUNTIFS(MEDICAL!A:A,"TC-*",MEDICAL!L:L,"",MEDICAL!I:I,"Pass")</f>
        <v>9</v>
      </c>
      <c r="E12" s="75">
        <f>COUNTIFS(MEDICAL!A:A,"TC-*",MEDICAL!L:L,"Fail")+COUNTIFS(MEDICAL!A:A,"TC-*",MEDICAL!L:L,"",MEDICAL!I:I,"Fail")</f>
        <v>0</v>
      </c>
      <c r="F12" s="75">
        <f>COUNTIFS(MEDICAL!A:A,"TC-*",MEDICAL!L:L,"Pending")+COUNTIFS(MEDICAL!A:A,"TC-*",MEDICAL!L:L,"",MEDICAL!I:I,"Pending")</f>
        <v>0</v>
      </c>
      <c r="G12" s="82">
        <f>COUNTIF(MEDICAL!A:A,"TC-*")</f>
        <v>9</v>
      </c>
      <c r="H12" s="83"/>
      <c r="I12" s="83"/>
      <c r="J12" s="83"/>
      <c r="K12" s="83"/>
      <c r="L12" s="83"/>
      <c r="M12" s="83"/>
      <c r="N12" s="83"/>
      <c r="O12" s="83"/>
      <c r="P12" s="83"/>
      <c r="Q12" s="83"/>
      <c r="R12" s="83"/>
      <c r="S12" s="83"/>
      <c r="T12" s="83"/>
      <c r="U12" s="83"/>
      <c r="V12" s="83"/>
      <c r="W12" s="83"/>
      <c r="X12" s="83"/>
      <c r="Y12" s="83"/>
      <c r="Z12" s="83"/>
    </row>
    <row r="13" ht="28.5" customHeight="1">
      <c r="A13" s="41"/>
      <c r="B13" s="49">
        <f t="shared" si="1"/>
        <v>6</v>
      </c>
      <c r="C13" s="75" t="str">
        <f>DS_ADMIN!B4</f>
        <v>SCHEDULE - Doctor Schedule Management</v>
      </c>
      <c r="D13" s="67">
        <f>COUNTIFS(DS_ADMIN!A:A,"TC-*",DS_ADMIN!L:L,"Pass")+COUNTIFS(DS_ADMIN!A:A,"TC-*",DS_ADMIN!L:L,"",DS_ADMIN!I:I,"Pass")</f>
        <v>19</v>
      </c>
      <c r="E13" s="75">
        <f>COUNTIFS(DS_ADMIN!A:A,"TC-*",DS_ADMIN!L:L,"Fail")+COUNTIFS(DS_ADMIN!A:A,"TC-*",DS_ADMIN!L:L,"",DS_ADMIN!I:I,"Fail")</f>
        <v>1</v>
      </c>
      <c r="F13" s="75">
        <f>COUNTIFS(DS_ADMIN!A:A,"TC-*",DS_ADMIN!L:L,"Pending")+COUNTIFS(DS_ADMIN!A:A,"TC-*",DS_ADMIN!L:L,"",DS_ADMIN!I:I,"Pending")</f>
        <v>0</v>
      </c>
      <c r="G13" s="82">
        <f>COUNTIF(DS_ADMIN!A:A,"TC-*")</f>
        <v>20</v>
      </c>
      <c r="H13" s="83"/>
      <c r="I13" s="83"/>
      <c r="J13" s="83"/>
      <c r="K13" s="83"/>
      <c r="L13" s="83"/>
      <c r="M13" s="83"/>
      <c r="N13" s="83"/>
      <c r="O13" s="83"/>
      <c r="P13" s="83"/>
      <c r="Q13" s="83"/>
      <c r="R13" s="83"/>
      <c r="S13" s="83"/>
      <c r="T13" s="83"/>
      <c r="U13" s="83"/>
      <c r="V13" s="83"/>
      <c r="W13" s="83"/>
      <c r="X13" s="83"/>
      <c r="Y13" s="83"/>
      <c r="Z13" s="83"/>
    </row>
    <row r="14" ht="19.5" customHeight="1">
      <c r="A14" s="41"/>
      <c r="B14" s="49">
        <f t="shared" si="1"/>
        <v>7</v>
      </c>
      <c r="C14" s="75" t="str">
        <f>MYAPPOINTMENT!B4</f>
        <v>PATIENT - My Appointments</v>
      </c>
      <c r="D14" s="67">
        <f>COUNTIFS(MYAPPOINTMENT!A:A,"TC-*",MYAPPOINTMENT!L:L,"Pass")+COUNTIFS(MYAPPOINTMENT!A:A,"TC-*",MYAPPOINTMENT!L:L,"",MYAPPOINTMENT!I:I,"Pass")</f>
        <v>5</v>
      </c>
      <c r="E14" s="75">
        <f>COUNTIFS(MYAPPOINTMENT!A:A,"TC-*",MYAPPOINTMENT!L:L,"Fail")+COUNTIFS(MYAPPOINTMENT!A:A,"TC-*",MYAPPOINTMENT!L:L,"",MYAPPOINTMENT!I:I,"Fail")</f>
        <v>0</v>
      </c>
      <c r="F14" s="75">
        <f>COUNTIFS(MYAPPOINTMENT!A:A,"TC-*",MYAPPOINTMENT!L:L,"Pending")+COUNTIFS(MYAPPOINTMENT!A:A,"TC-*",MYAPPOINTMENT!L:L,"",MYAPPOINTMENT!I:I,"Pending")</f>
        <v>0</v>
      </c>
      <c r="G14" s="82">
        <f>COUNTIF(MYAPPOINTMENT!A:A,"TC-*")</f>
        <v>5</v>
      </c>
      <c r="H14" s="83"/>
      <c r="I14" s="83"/>
      <c r="J14" s="83"/>
      <c r="K14" s="83"/>
      <c r="L14" s="83"/>
      <c r="M14" s="83"/>
      <c r="N14" s="83"/>
      <c r="O14" s="83"/>
      <c r="P14" s="83"/>
      <c r="Q14" s="83"/>
      <c r="R14" s="83"/>
      <c r="S14" s="83"/>
      <c r="T14" s="83"/>
      <c r="U14" s="83"/>
      <c r="V14" s="83"/>
      <c r="W14" s="83"/>
      <c r="X14" s="83"/>
      <c r="Y14" s="83"/>
      <c r="Z14" s="83"/>
    </row>
    <row r="15" ht="20.25" customHeight="1">
      <c r="A15" s="41"/>
      <c r="B15" s="49">
        <f t="shared" si="1"/>
        <v>8</v>
      </c>
      <c r="C15" s="75" t="str">
        <f>HISTORY!B4</f>
        <v>MEDICAL - Medical History</v>
      </c>
      <c r="D15" s="67">
        <f>COUNTIFS(HISTORY!A:A,"TC-*",HISTORY!L:L,"Pass")+COUNTIFS(HISTORY!A:A,"TC-*",HISTORY!L:L,"",HISTORY!I:I,"Pass")</f>
        <v>6</v>
      </c>
      <c r="E15" s="75">
        <f>COUNTIFS(HISTORY!A:A,"TC-*",HISTORY!L:L,"Fail")+COUNTIFS(HISTORY!A:A,"TC-*",HISTORY!L:L,"",HISTORY!I:I,"Fail")</f>
        <v>0</v>
      </c>
      <c r="F15" s="75">
        <f>COUNTIFS(HISTORY!A:A,"TC-*",HISTORY!L:L,"Pending")+COUNTIFS(HISTORY!A:A,"TC-*",HISTORY!L:L,"",HISTORY!I:I,"Pending")</f>
        <v>0</v>
      </c>
      <c r="G15" s="82">
        <f>COUNTIF(HISTORY!A:A,"TC-*")</f>
        <v>6</v>
      </c>
      <c r="H15" s="83"/>
      <c r="I15" s="83"/>
      <c r="J15" s="83"/>
      <c r="K15" s="83"/>
      <c r="L15" s="83"/>
      <c r="M15" s="83"/>
      <c r="N15" s="83"/>
      <c r="O15" s="83"/>
      <c r="P15" s="83"/>
      <c r="Q15" s="83"/>
      <c r="R15" s="83"/>
      <c r="S15" s="83"/>
      <c r="T15" s="83"/>
      <c r="U15" s="83"/>
      <c r="V15" s="83"/>
      <c r="W15" s="83"/>
      <c r="X15" s="83"/>
      <c r="Y15" s="83"/>
      <c r="Z15" s="83"/>
    </row>
    <row r="16" ht="28.5" customHeight="1">
      <c r="A16" s="41"/>
      <c r="B16" s="49">
        <f t="shared" si="1"/>
        <v>9</v>
      </c>
      <c r="C16" s="75" t="str">
        <f>WORKSCHEDULE!B4</f>
        <v>SCHEDULE - Doctor Work Schedule</v>
      </c>
      <c r="D16" s="67">
        <f>COUNTIFS(WORKSCHEDULE!A:A,"TC-*",WORKSCHEDULE!L:L,"Pass")+COUNTIFS(WORKSCHEDULE!A:A,"TC-*",WORKSCHEDULE!L:L,"",WORKSCHEDULE!I:I,"Pass")</f>
        <v>5</v>
      </c>
      <c r="E16" s="75">
        <f>COUNTIFS(WORKSCHEDULE!A:A,"TC-*",WORKSCHEDULE!L:L,"Fail")+COUNTIFS(WORKSCHEDULE!A:A,"TC-*",WORKSCHEDULE!L:L,"",WORKSCHEDULE!I:I,"Fail")</f>
        <v>0</v>
      </c>
      <c r="F16" s="75">
        <f>COUNTIFS(WORKSCHEDULE!A:A,"TC-*",WORKSCHEDULE!L:L,"Pending")+COUNTIFS(WORKSCHEDULE!A:A,"TC-*",WORKSCHEDULE!L:L,"",WORKSCHEDULE!I:I,"Pending")</f>
        <v>0</v>
      </c>
      <c r="G16" s="82">
        <f>COUNTIF(WORKSCHEDULE!A:A,"TC-*")</f>
        <v>5</v>
      </c>
      <c r="H16" s="83"/>
      <c r="I16" s="83"/>
      <c r="J16" s="83"/>
      <c r="K16" s="83"/>
      <c r="L16" s="83"/>
      <c r="M16" s="83"/>
      <c r="N16" s="83"/>
      <c r="O16" s="83"/>
      <c r="P16" s="83"/>
      <c r="Q16" s="83"/>
      <c r="R16" s="83"/>
      <c r="S16" s="83"/>
      <c r="T16" s="83"/>
      <c r="U16" s="83"/>
      <c r="V16" s="83"/>
      <c r="W16" s="83"/>
      <c r="X16" s="83"/>
      <c r="Y16" s="83"/>
      <c r="Z16" s="83"/>
    </row>
    <row r="17" ht="27.0" customHeight="1">
      <c r="A17" s="41"/>
      <c r="B17" s="49">
        <f t="shared" si="1"/>
        <v>10</v>
      </c>
      <c r="C17" s="75" t="str">
        <f>NOTIFICATION!B4</f>
        <v>NOTIFICATION - Patient Notifications</v>
      </c>
      <c r="D17" s="67">
        <f>COUNTIFS(NOTIFICATION!A:A,"TC-*",NOTIFICATION!L:L,"Pass")+COUNTIFS(NOTIFICATION!A:A,"TC-*",NOTIFICATION!L:L,"",NOTIFICATION!I:I,"Pass")</f>
        <v>8</v>
      </c>
      <c r="E17" s="75">
        <f>COUNTIFS(NOTIFICATION!A:A,"TC-*",NOTIFICATION!L:L,"Fail")+COUNTIFS(NOTIFICATION!A:A,"TC-*",NOTIFICATION!L:L,"",NOTIFICATION!I:I,"Fail")</f>
        <v>1</v>
      </c>
      <c r="F17" s="75">
        <f>COUNTIFS(NOTIFICATION!A:A,"TC-*",NOTIFICATION!L:L,"Pending")+COUNTIFS(NOTIFICATION!A:A,"TC-*",NOTIFICATION!L:L,"",NOTIFICATION!I:I,"Pending")</f>
        <v>0</v>
      </c>
      <c r="G17" s="82">
        <f>COUNTIF(NOTIFICATION!A:A,"TC-*")</f>
        <v>9</v>
      </c>
      <c r="H17" s="83"/>
      <c r="I17" s="83"/>
      <c r="J17" s="83"/>
      <c r="K17" s="83"/>
      <c r="L17" s="83"/>
      <c r="M17" s="83"/>
      <c r="N17" s="83"/>
      <c r="O17" s="83"/>
      <c r="P17" s="83"/>
      <c r="Q17" s="83"/>
      <c r="R17" s="83"/>
      <c r="S17" s="83"/>
      <c r="T17" s="83"/>
      <c r="U17" s="83"/>
      <c r="V17" s="83"/>
      <c r="W17" s="83"/>
      <c r="X17" s="83"/>
      <c r="Y17" s="83"/>
      <c r="Z17" s="83"/>
    </row>
    <row r="18" ht="36.0" customHeight="1">
      <c r="A18" s="41"/>
      <c r="B18" s="49">
        <f t="shared" si="1"/>
        <v>11</v>
      </c>
      <c r="C18" s="75" t="str">
        <f>DOCTOR!B4</f>
        <v>DOCTOR - Doctor Management</v>
      </c>
      <c r="D18" s="67">
        <f>COUNTIFS(DOCTOR!A:A,"TC-*",DOCTOR!L:L,"Pass")+COUNTIFS(DOCTOR!A:A,"TC-*",DOCTOR!L:L,"",DOCTOR!I:I,"Pass")</f>
        <v>4</v>
      </c>
      <c r="E18" s="75">
        <f>COUNTIFS(DOCTOR!A:A,"TC-*",DOCTOR!L:L,"Fail")+COUNTIFS(DOCTOR!A:A,"TC-*",DOCTOR!L:L,"",DOCTOR!I:I,"Fail")</f>
        <v>0</v>
      </c>
      <c r="F18" s="75">
        <f>COUNTIFS(DOCTOR!A:A,"TC-*",DOCTOR!L:L,"Pending")+COUNTIFS(DOCTOR!A:A,"TC-*",DOCTOR!L:L,"",DOCTOR!I:I,"Pending")</f>
        <v>0</v>
      </c>
      <c r="G18" s="82">
        <f>COUNTIF(DOCTOR!A:A,"TC-*")</f>
        <v>4</v>
      </c>
      <c r="H18" s="83"/>
      <c r="I18" s="83"/>
      <c r="J18" s="83"/>
      <c r="K18" s="83"/>
      <c r="L18" s="83"/>
      <c r="M18" s="83"/>
      <c r="N18" s="83"/>
      <c r="O18" s="83"/>
      <c r="P18" s="83"/>
      <c r="Q18" s="83"/>
      <c r="R18" s="83"/>
      <c r="S18" s="83"/>
      <c r="T18" s="83"/>
      <c r="U18" s="83"/>
      <c r="V18" s="83"/>
      <c r="W18" s="83"/>
      <c r="X18" s="83"/>
      <c r="Y18" s="83"/>
      <c r="Z18" s="83"/>
    </row>
    <row r="19" ht="33.0" customHeight="1">
      <c r="A19" s="41"/>
      <c r="B19" s="49">
        <f t="shared" si="1"/>
        <v>12</v>
      </c>
      <c r="C19" s="75" t="str">
        <f>SPECIALTY!B4</f>
        <v>SPECIALTY - Specialty Management</v>
      </c>
      <c r="D19" s="67">
        <f>COUNTIFS(SPECIALTY!A:A,"TC-*",SPECIALTY!L:L,"Pass")+COUNTIFS(SPECIALTY!A:A,"TC-*",SPECIALTY!L:L,"",SPECIALTY!I:I,"Pass")</f>
        <v>5</v>
      </c>
      <c r="E19" s="75">
        <f>COUNTIFS(SPECIALTY!A:A,"TC-*",SPECIALTY!L:L,"Fail")+COUNTIFS(SPECIALTY!A:A,"TC-*",SPECIALTY!L:L,"",SPECIALTY!I:I,"Fail")</f>
        <v>0</v>
      </c>
      <c r="F19" s="75">
        <f>COUNTIFS(SPECIALTY!A:A,"TC-*",SPECIALTY!L:L,"Pending")+COUNTIFS(SPECIALTY!A:A,"TC-*",SPECIALTY!L:L,"",SPECIALTY!I:I,"Pending")</f>
        <v>0</v>
      </c>
      <c r="G19" s="82">
        <f>COUNTIF(SPECIALTY!A:A,"TC-*")</f>
        <v>5</v>
      </c>
      <c r="H19" s="83"/>
      <c r="I19" s="83"/>
      <c r="J19" s="83"/>
      <c r="K19" s="83"/>
      <c r="L19" s="83"/>
      <c r="M19" s="83"/>
      <c r="N19" s="83"/>
      <c r="O19" s="83"/>
      <c r="P19" s="83"/>
      <c r="Q19" s="83"/>
      <c r="R19" s="83"/>
      <c r="S19" s="83"/>
      <c r="T19" s="83"/>
      <c r="U19" s="83"/>
      <c r="V19" s="83"/>
      <c r="W19" s="83"/>
      <c r="X19" s="83"/>
      <c r="Y19" s="83"/>
      <c r="Z19" s="83"/>
    </row>
    <row r="20" ht="23.25" customHeight="1">
      <c r="A20" s="8"/>
      <c r="B20" s="49">
        <f t="shared" si="1"/>
        <v>13</v>
      </c>
      <c r="C20" s="106" t="str">
        <f>DRUG_CATEGORY!B4</f>
        <v>DRUG - Drug Inventory Management</v>
      </c>
      <c r="D20" s="107">
        <f>COUNTIFS(DRUG_CATEGORY!A:A,"TC-*",DRUG_CATEGORY!L:L,"Pass")+COUNTIFS(DRUG_CATEGORY!A:A,"TC-*",DRUG_CATEGORY!L:L,"",DRUG_CATEGORY!I:I,"Pass")</f>
        <v>10</v>
      </c>
      <c r="E20" s="108">
        <f>COUNTIFS(DRUG_CATEGORY!A:A,"TC-*",DRUG_CATEGORY!L:L,"Fail")+COUNTIFS(DRUG_CATEGORY!A:A,"TC-*",DRUG_CATEGORY!L:L,"",DRUG_CATEGORY!I:I,"Fail")</f>
        <v>1</v>
      </c>
      <c r="F20" s="108">
        <f>COUNTIFS(DRUG_CATEGORY!A:A,"TC-*",DRUG_CATEGORY!L:L,"Pending")+COUNTIFS(DRUG_CATEGORY!A:A,"TC-*",DRUG_CATEGORY!L:L,"",DRUG_CATEGORY!I:I,"Pending")</f>
        <v>0</v>
      </c>
      <c r="G20" s="109">
        <f>COUNTIF(DRUG_CATEGORY!A:A,"TC-*")</f>
        <v>11</v>
      </c>
    </row>
    <row r="21" ht="23.25" customHeight="1">
      <c r="A21" s="8"/>
      <c r="B21" s="49">
        <f t="shared" si="1"/>
        <v>14</v>
      </c>
      <c r="C21" s="110" t="str">
        <f>STAT!B4</f>
        <v>STAT - Statistics and Reporting</v>
      </c>
      <c r="D21" s="111">
        <f>COUNTIFS(STAT!A:A,"TC-*",STAT!L:L,"Pass")+COUNTIFS(STAT!A:A,"TC-*",STAT!L:L,"",STAT!I:I,"Pass")</f>
        <v>4</v>
      </c>
      <c r="E21" s="112">
        <f>COUNTIFS(STAT!A:A,"TC-*",STAT!L:L,"Fail")+COUNTIFS(STAT!A:A,"TC-*",STAT!L:L,"",STAT!I:I,"Fail")</f>
        <v>0</v>
      </c>
      <c r="F21" s="112">
        <f>COUNTIFS(STAT!A:A,"TC-*",STAT!L:L,"Pending")+COUNTIFS(STAT!A:A,"TC-*",STAT!L:L,"",STAT!I:I,"Pending")</f>
        <v>0</v>
      </c>
      <c r="G21" s="113">
        <f>COUNTIF(STAT!A:A,"TC-*")</f>
        <v>4</v>
      </c>
    </row>
    <row r="22" ht="13.5" customHeight="1">
      <c r="A22" s="8"/>
      <c r="B22" s="114"/>
      <c r="C22" s="115" t="s">
        <v>185</v>
      </c>
      <c r="D22" s="116">
        <f t="shared" ref="D22:G22" si="2">SUM(D8:D21)</f>
        <v>120</v>
      </c>
      <c r="E22" s="117">
        <f t="shared" si="2"/>
        <v>5</v>
      </c>
      <c r="F22" s="118">
        <f t="shared" si="2"/>
        <v>0</v>
      </c>
      <c r="G22" s="119">
        <f t="shared" si="2"/>
        <v>125</v>
      </c>
    </row>
    <row r="23" ht="13.5" customHeight="1">
      <c r="A23" s="8"/>
      <c r="B23" s="120"/>
      <c r="C23" s="8"/>
      <c r="D23" s="121"/>
      <c r="E23" s="122"/>
      <c r="F23" s="122"/>
      <c r="G23" s="122"/>
    </row>
    <row r="24" ht="13.5" customHeight="1">
      <c r="A24" s="8"/>
      <c r="B24" s="8"/>
      <c r="C24" s="8" t="s">
        <v>186</v>
      </c>
      <c r="D24" s="8"/>
      <c r="E24" s="123">
        <f>(D22+E22)*100/G22</f>
        <v>100</v>
      </c>
      <c r="F24" s="8" t="s">
        <v>187</v>
      </c>
      <c r="G24" s="124"/>
    </row>
    <row r="25" ht="13.5" customHeight="1">
      <c r="A25" s="8"/>
      <c r="B25" s="8"/>
      <c r="C25" s="8" t="s">
        <v>188</v>
      </c>
      <c r="D25" s="8"/>
      <c r="E25" s="123">
        <f>D22*100/G22</f>
        <v>96</v>
      </c>
      <c r="F25" s="8" t="s">
        <v>187</v>
      </c>
      <c r="G25" s="124"/>
    </row>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row r="1008" ht="13.5" customHeight="1"/>
    <row r="1009" ht="13.5" customHeight="1"/>
    <row r="1010" ht="13.5" customHeight="1"/>
    <row r="1011" ht="13.5" customHeight="1"/>
    <row r="1012" ht="13.5" customHeight="1"/>
  </sheetData>
  <printOptions/>
  <pageMargins bottom="1.0" footer="0.0" header="0.0" left="0.75" right="0.75" top="1.0"/>
  <pageSetup orientation="landscape"/>
  <headerFooter>
    <oddFooter>&amp;L 02ae-BM/PM/HDCV/FSOFT v1/0</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1.13"/>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8" t="s">
        <v>14</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18</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9.0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1.0</v>
      </c>
      <c r="C7" s="48" t="s">
        <v>34</v>
      </c>
      <c r="D7" s="45">
        <v>10.0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61" t="s">
        <v>45</v>
      </c>
      <c r="L9" s="59" t="s">
        <v>47</v>
      </c>
      <c r="M9" s="59" t="s">
        <v>48</v>
      </c>
      <c r="N9" s="11"/>
      <c r="O9" s="11"/>
      <c r="P9" s="11"/>
      <c r="Q9" s="11"/>
      <c r="R9" s="11"/>
      <c r="S9" s="11"/>
      <c r="T9" s="11"/>
      <c r="U9" s="11"/>
      <c r="V9" s="11"/>
      <c r="W9" s="11"/>
      <c r="X9" s="11"/>
      <c r="Y9" s="11"/>
      <c r="Z9" s="11"/>
      <c r="AA9" s="11"/>
    </row>
    <row r="10">
      <c r="A10" s="63"/>
      <c r="B10" s="63"/>
      <c r="C10" s="63"/>
      <c r="D10" s="65"/>
      <c r="E10" s="14"/>
      <c r="F10" s="14"/>
      <c r="G10" s="63"/>
      <c r="H10" s="63"/>
      <c r="I10" s="63"/>
      <c r="J10" s="63"/>
      <c r="K10" s="63"/>
      <c r="L10" s="63"/>
      <c r="M10" s="63"/>
      <c r="N10" s="11"/>
      <c r="O10" s="11"/>
      <c r="P10" s="11"/>
      <c r="Q10" s="11"/>
      <c r="R10" s="11"/>
      <c r="S10" s="11"/>
      <c r="T10" s="11"/>
      <c r="U10" s="11"/>
      <c r="V10" s="11"/>
      <c r="W10" s="11"/>
      <c r="X10" s="11"/>
      <c r="Y10" s="11"/>
      <c r="Z10" s="11"/>
      <c r="AA10" s="11"/>
    </row>
    <row r="11">
      <c r="A11" s="69"/>
      <c r="B11" s="52"/>
      <c r="C11" s="52"/>
      <c r="D11" s="52"/>
      <c r="E11" s="52"/>
      <c r="F11" s="52"/>
      <c r="G11" s="23"/>
      <c r="H11" s="23"/>
      <c r="I11" s="23"/>
      <c r="J11" s="23"/>
      <c r="K11" s="23"/>
      <c r="L11" s="23"/>
      <c r="M11" s="23"/>
      <c r="N11" s="11"/>
      <c r="O11" s="11"/>
      <c r="P11" s="11"/>
      <c r="Q11" s="11"/>
      <c r="R11" s="11"/>
      <c r="S11" s="11"/>
      <c r="T11" s="11"/>
      <c r="U11" s="11"/>
      <c r="V11" s="11"/>
      <c r="W11" s="11"/>
      <c r="X11" s="11"/>
      <c r="Y11" s="11"/>
      <c r="Z11" s="11"/>
      <c r="AA11" s="11"/>
    </row>
    <row r="12">
      <c r="A12" s="74" t="s">
        <v>57</v>
      </c>
      <c r="B12" s="23"/>
      <c r="C12" s="23"/>
      <c r="D12" s="23"/>
      <c r="E12" s="23"/>
      <c r="F12" s="23"/>
      <c r="G12" s="23"/>
      <c r="H12" s="23"/>
      <c r="I12" s="23"/>
      <c r="J12" s="23"/>
      <c r="K12" s="23"/>
      <c r="L12" s="23"/>
      <c r="M12" s="25"/>
      <c r="N12" s="11"/>
      <c r="O12" s="11"/>
      <c r="P12" s="11"/>
      <c r="Q12" s="11"/>
      <c r="R12" s="11"/>
      <c r="S12" s="11"/>
      <c r="T12" s="11"/>
      <c r="U12" s="11"/>
      <c r="V12" s="11"/>
      <c r="W12" s="11"/>
      <c r="X12" s="11"/>
      <c r="Y12" s="11"/>
      <c r="Z12" s="11"/>
      <c r="AA12" s="11"/>
    </row>
    <row r="13" ht="83.25" customHeight="1">
      <c r="A13" s="76" t="s">
        <v>67</v>
      </c>
      <c r="B13" s="77" t="s">
        <v>68</v>
      </c>
      <c r="C13" s="79" t="s">
        <v>70</v>
      </c>
      <c r="D13" s="81" t="s">
        <v>73</v>
      </c>
      <c r="E13" s="23"/>
      <c r="F13" s="23"/>
      <c r="G13" s="85" t="s">
        <v>77</v>
      </c>
      <c r="H13" s="86">
        <v>46213.0</v>
      </c>
      <c r="I13" s="76" t="s">
        <v>26</v>
      </c>
      <c r="J13" s="79" t="s">
        <v>94</v>
      </c>
      <c r="K13" s="87"/>
      <c r="L13" s="11"/>
      <c r="M13" s="88"/>
      <c r="N13" s="11"/>
      <c r="O13" s="11"/>
      <c r="P13" s="11"/>
      <c r="Q13" s="11"/>
      <c r="R13" s="11"/>
      <c r="S13" s="11"/>
      <c r="T13" s="11"/>
      <c r="U13" s="11"/>
      <c r="V13" s="11"/>
      <c r="W13" s="11"/>
      <c r="X13" s="11"/>
      <c r="Y13" s="11"/>
      <c r="Z13" s="11"/>
      <c r="AA13" s="11"/>
    </row>
    <row r="14">
      <c r="A14" s="76" t="s">
        <v>101</v>
      </c>
      <c r="B14" s="77" t="s">
        <v>102</v>
      </c>
      <c r="C14" s="79" t="s">
        <v>104</v>
      </c>
      <c r="D14" s="81" t="s">
        <v>105</v>
      </c>
      <c r="E14" s="23"/>
      <c r="F14" s="23"/>
      <c r="G14" s="85" t="s">
        <v>107</v>
      </c>
      <c r="H14" s="86">
        <v>46213.0</v>
      </c>
      <c r="I14" s="76" t="s">
        <v>28</v>
      </c>
      <c r="J14" s="79" t="s">
        <v>118</v>
      </c>
      <c r="K14" s="86">
        <v>46213.0</v>
      </c>
      <c r="L14" s="76" t="s">
        <v>26</v>
      </c>
      <c r="M14" s="85" t="s">
        <v>121</v>
      </c>
      <c r="N14" s="11"/>
      <c r="O14" s="11"/>
      <c r="P14" s="11"/>
      <c r="Q14" s="11"/>
      <c r="R14" s="11"/>
      <c r="S14" s="11"/>
      <c r="T14" s="11"/>
      <c r="U14" s="11"/>
      <c r="V14" s="11"/>
      <c r="W14" s="11"/>
      <c r="X14" s="11"/>
      <c r="Y14" s="11"/>
      <c r="Z14" s="11"/>
      <c r="AA14" s="11"/>
    </row>
    <row r="15">
      <c r="A15" s="74" t="s">
        <v>124</v>
      </c>
      <c r="B15" s="23"/>
      <c r="C15" s="23"/>
      <c r="D15" s="23"/>
      <c r="E15" s="23"/>
      <c r="F15" s="23"/>
      <c r="G15" s="23"/>
      <c r="H15" s="23"/>
      <c r="I15" s="23"/>
      <c r="J15" s="23"/>
      <c r="K15" s="23"/>
      <c r="L15" s="23"/>
      <c r="M15" s="25"/>
      <c r="N15" s="11"/>
      <c r="O15" s="11"/>
      <c r="P15" s="11"/>
      <c r="Q15" s="11"/>
      <c r="R15" s="11"/>
      <c r="S15" s="11"/>
      <c r="T15" s="11"/>
      <c r="U15" s="11"/>
      <c r="V15" s="11"/>
      <c r="W15" s="11"/>
      <c r="X15" s="11"/>
      <c r="Y15" s="11"/>
      <c r="Z15" s="11"/>
      <c r="AA15" s="11"/>
    </row>
    <row r="16" ht="81.0" customHeight="1">
      <c r="A16" s="76" t="s">
        <v>125</v>
      </c>
      <c r="B16" s="77" t="s">
        <v>126</v>
      </c>
      <c r="C16" s="79" t="s">
        <v>127</v>
      </c>
      <c r="D16" s="81" t="s">
        <v>128</v>
      </c>
      <c r="E16" s="23"/>
      <c r="F16" s="23"/>
      <c r="G16" s="85" t="s">
        <v>129</v>
      </c>
      <c r="H16" s="86">
        <v>46213.0</v>
      </c>
      <c r="I16" s="76" t="s">
        <v>26</v>
      </c>
      <c r="J16" s="79" t="s">
        <v>130</v>
      </c>
      <c r="K16" s="87"/>
      <c r="L16" s="87"/>
      <c r="M16" s="88"/>
      <c r="N16" s="11"/>
      <c r="O16" s="11"/>
      <c r="P16" s="11"/>
      <c r="Q16" s="11"/>
      <c r="R16" s="11"/>
      <c r="S16" s="11"/>
      <c r="T16" s="11"/>
      <c r="U16" s="11"/>
      <c r="V16" s="11"/>
      <c r="W16" s="11"/>
      <c r="X16" s="11"/>
      <c r="Y16" s="11"/>
      <c r="Z16" s="11"/>
      <c r="AA16" s="11"/>
    </row>
    <row r="17" ht="83.25" customHeight="1">
      <c r="A17" s="76" t="s">
        <v>131</v>
      </c>
      <c r="B17" s="77" t="s">
        <v>132</v>
      </c>
      <c r="C17" s="79" t="s">
        <v>133</v>
      </c>
      <c r="D17" s="81" t="s">
        <v>134</v>
      </c>
      <c r="E17" s="23"/>
      <c r="F17" s="23"/>
      <c r="G17" s="85" t="s">
        <v>135</v>
      </c>
      <c r="H17" s="86">
        <v>46213.0</v>
      </c>
      <c r="I17" s="76" t="s">
        <v>26</v>
      </c>
      <c r="J17" s="79" t="s">
        <v>136</v>
      </c>
      <c r="K17" s="87"/>
      <c r="L17" s="87"/>
      <c r="M17" s="88"/>
      <c r="N17" s="11"/>
      <c r="O17" s="11"/>
      <c r="P17" s="11"/>
      <c r="Q17" s="11"/>
      <c r="R17" s="11"/>
      <c r="S17" s="11"/>
      <c r="T17" s="11"/>
      <c r="U17" s="11"/>
      <c r="V17" s="11"/>
      <c r="W17" s="11"/>
      <c r="X17" s="11"/>
      <c r="Y17" s="11"/>
      <c r="Z17" s="11"/>
      <c r="AA17" s="11"/>
    </row>
    <row r="18">
      <c r="A18" s="76" t="s">
        <v>138</v>
      </c>
      <c r="B18" s="77" t="s">
        <v>139</v>
      </c>
      <c r="C18" s="79" t="s">
        <v>140</v>
      </c>
      <c r="D18" s="81" t="s">
        <v>141</v>
      </c>
      <c r="E18" s="23"/>
      <c r="F18" s="23"/>
      <c r="G18" s="85" t="s">
        <v>142</v>
      </c>
      <c r="H18" s="86">
        <v>46213.0</v>
      </c>
      <c r="I18" s="76" t="s">
        <v>26</v>
      </c>
      <c r="J18" s="79" t="s">
        <v>143</v>
      </c>
      <c r="K18" s="87"/>
      <c r="L18" s="87"/>
      <c r="M18" s="88"/>
      <c r="N18" s="11"/>
      <c r="O18" s="11"/>
      <c r="P18" s="11"/>
      <c r="Q18" s="11"/>
      <c r="R18" s="11"/>
      <c r="S18" s="11"/>
      <c r="T18" s="11"/>
      <c r="U18" s="11"/>
      <c r="V18" s="11"/>
      <c r="W18" s="11"/>
      <c r="X18" s="11"/>
      <c r="Y18" s="11"/>
      <c r="Z18" s="11"/>
      <c r="AA18" s="11"/>
    </row>
    <row r="19">
      <c r="A19" s="74" t="s">
        <v>144</v>
      </c>
      <c r="B19" s="23"/>
      <c r="C19" s="23"/>
      <c r="D19" s="23"/>
      <c r="E19" s="23"/>
      <c r="F19" s="23"/>
      <c r="G19" s="23"/>
      <c r="H19" s="23"/>
      <c r="I19" s="23"/>
      <c r="J19" s="23"/>
      <c r="K19" s="23"/>
      <c r="L19" s="23"/>
      <c r="M19" s="25"/>
      <c r="N19" s="11"/>
      <c r="O19" s="11"/>
      <c r="P19" s="11"/>
      <c r="Q19" s="11"/>
      <c r="R19" s="11"/>
      <c r="S19" s="11"/>
      <c r="T19" s="11"/>
      <c r="U19" s="11"/>
      <c r="V19" s="11"/>
      <c r="W19" s="11"/>
      <c r="X19" s="11"/>
      <c r="Y19" s="11"/>
      <c r="Z19" s="11"/>
      <c r="AA19" s="11"/>
    </row>
    <row r="20" ht="85.5" customHeight="1">
      <c r="A20" s="76" t="s">
        <v>145</v>
      </c>
      <c r="B20" s="77" t="s">
        <v>146</v>
      </c>
      <c r="C20" s="79" t="s">
        <v>147</v>
      </c>
      <c r="D20" s="81" t="s">
        <v>148</v>
      </c>
      <c r="E20" s="23"/>
      <c r="F20" s="23"/>
      <c r="G20" s="85" t="s">
        <v>149</v>
      </c>
      <c r="H20" s="86">
        <v>46213.0</v>
      </c>
      <c r="I20" s="76" t="s">
        <v>26</v>
      </c>
      <c r="J20" s="79" t="s">
        <v>150</v>
      </c>
      <c r="K20" s="87"/>
      <c r="L20" s="87"/>
      <c r="M20" s="88"/>
      <c r="N20" s="11"/>
      <c r="O20" s="11"/>
      <c r="P20" s="11"/>
      <c r="Q20" s="11"/>
      <c r="R20" s="11"/>
      <c r="S20" s="11"/>
      <c r="T20" s="11"/>
      <c r="U20" s="11"/>
      <c r="V20" s="11"/>
      <c r="W20" s="11"/>
      <c r="X20" s="11"/>
      <c r="Y20" s="11"/>
      <c r="Z20" s="11"/>
      <c r="AA20" s="11"/>
    </row>
    <row r="21" ht="84.0" customHeight="1">
      <c r="A21" s="76" t="s">
        <v>152</v>
      </c>
      <c r="B21" s="77" t="s">
        <v>153</v>
      </c>
      <c r="C21" s="79" t="s">
        <v>154</v>
      </c>
      <c r="D21" s="81" t="s">
        <v>148</v>
      </c>
      <c r="E21" s="23"/>
      <c r="F21" s="23"/>
      <c r="G21" s="85" t="s">
        <v>155</v>
      </c>
      <c r="H21" s="86">
        <v>46213.0</v>
      </c>
      <c r="I21" s="76" t="s">
        <v>26</v>
      </c>
      <c r="J21" s="79" t="s">
        <v>156</v>
      </c>
      <c r="K21" s="87"/>
      <c r="L21" s="87"/>
      <c r="M21" s="88"/>
      <c r="N21" s="11"/>
      <c r="O21" s="11"/>
      <c r="P21" s="11"/>
      <c r="Q21" s="11"/>
      <c r="R21" s="11"/>
      <c r="S21" s="11"/>
      <c r="T21" s="11"/>
      <c r="U21" s="11"/>
      <c r="V21" s="11"/>
      <c r="W21" s="11"/>
      <c r="X21" s="11"/>
      <c r="Y21" s="11"/>
      <c r="Z21" s="11"/>
      <c r="AA21" s="11"/>
    </row>
    <row r="22">
      <c r="A22" s="74" t="s">
        <v>157</v>
      </c>
      <c r="B22" s="23"/>
      <c r="C22" s="23"/>
      <c r="D22" s="23"/>
      <c r="E22" s="23"/>
      <c r="F22" s="23"/>
      <c r="G22" s="23"/>
      <c r="H22" s="23"/>
      <c r="I22" s="23"/>
      <c r="J22" s="23"/>
      <c r="K22" s="23"/>
      <c r="L22" s="23"/>
      <c r="M22" s="25"/>
      <c r="N22" s="11"/>
      <c r="O22" s="11"/>
      <c r="P22" s="11"/>
      <c r="Q22" s="11"/>
      <c r="R22" s="11"/>
      <c r="S22" s="11"/>
      <c r="T22" s="11"/>
      <c r="U22" s="11"/>
      <c r="V22" s="11"/>
      <c r="W22" s="11"/>
      <c r="X22" s="11"/>
      <c r="Y22" s="11"/>
      <c r="Z22" s="11"/>
      <c r="AA22" s="11"/>
    </row>
    <row r="23">
      <c r="A23" s="76" t="s">
        <v>158</v>
      </c>
      <c r="B23" s="77" t="s">
        <v>159</v>
      </c>
      <c r="C23" s="79" t="s">
        <v>160</v>
      </c>
      <c r="D23" s="81" t="s">
        <v>161</v>
      </c>
      <c r="E23" s="23"/>
      <c r="F23" s="23"/>
      <c r="G23" s="85" t="s">
        <v>162</v>
      </c>
      <c r="H23" s="86">
        <v>46213.0</v>
      </c>
      <c r="I23" s="76" t="s">
        <v>26</v>
      </c>
      <c r="J23" s="79" t="s">
        <v>164</v>
      </c>
      <c r="K23" s="87"/>
      <c r="L23" s="87"/>
      <c r="M23" s="88"/>
      <c r="N23" s="11"/>
      <c r="O23" s="11"/>
      <c r="P23" s="11"/>
      <c r="Q23" s="11"/>
      <c r="R23" s="11"/>
      <c r="S23" s="11"/>
      <c r="T23" s="11"/>
      <c r="U23" s="11"/>
      <c r="V23" s="11"/>
      <c r="W23" s="11"/>
      <c r="X23" s="11"/>
      <c r="Y23" s="11"/>
      <c r="Z23" s="11"/>
      <c r="AA23" s="11"/>
    </row>
    <row r="24" ht="84.0" customHeight="1">
      <c r="A24" s="76" t="s">
        <v>165</v>
      </c>
      <c r="B24" s="77" t="s">
        <v>166</v>
      </c>
      <c r="C24" s="79" t="s">
        <v>167</v>
      </c>
      <c r="D24" s="81" t="s">
        <v>168</v>
      </c>
      <c r="E24" s="23"/>
      <c r="F24" s="23"/>
      <c r="G24" s="85" t="s">
        <v>169</v>
      </c>
      <c r="H24" s="86">
        <v>46213.0</v>
      </c>
      <c r="I24" s="76" t="s">
        <v>26</v>
      </c>
      <c r="J24" s="79" t="s">
        <v>170</v>
      </c>
      <c r="K24" s="87"/>
      <c r="L24" s="87"/>
      <c r="M24" s="88"/>
    </row>
    <row r="25" ht="67.5" customHeight="1">
      <c r="A25" s="76" t="s">
        <v>171</v>
      </c>
      <c r="B25" s="77" t="s">
        <v>172</v>
      </c>
      <c r="C25" s="79" t="s">
        <v>173</v>
      </c>
      <c r="D25" s="81" t="s">
        <v>174</v>
      </c>
      <c r="E25" s="23"/>
      <c r="F25" s="23"/>
      <c r="G25" s="85" t="s">
        <v>175</v>
      </c>
      <c r="H25" s="86">
        <v>46213.0</v>
      </c>
      <c r="I25" s="76" t="s">
        <v>26</v>
      </c>
      <c r="J25" s="79" t="s">
        <v>177</v>
      </c>
      <c r="K25" s="87"/>
      <c r="L25" s="87"/>
      <c r="M25" s="88"/>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88"/>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sheetData>
  <mergeCells count="30">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D14:F14"/>
    <mergeCell ref="A15:M15"/>
    <mergeCell ref="D16:F16"/>
    <mergeCell ref="D24:F24"/>
    <mergeCell ref="D25:F25"/>
    <mergeCell ref="D17:F17"/>
    <mergeCell ref="D18:F18"/>
    <mergeCell ref="A19:M19"/>
    <mergeCell ref="D20:F20"/>
    <mergeCell ref="D21:F21"/>
    <mergeCell ref="A22:M22"/>
    <mergeCell ref="D23:F23"/>
  </mergeCells>
  <hyperlinks>
    <hyperlink r:id="rId1" ref="G13"/>
    <hyperlink r:id="rId2" ref="G14"/>
    <hyperlink r:id="rId3" ref="M14"/>
    <hyperlink r:id="rId4" ref="G16"/>
    <hyperlink r:id="rId5" ref="G17"/>
    <hyperlink r:id="rId6" ref="G18"/>
    <hyperlink r:id="rId7" ref="G20"/>
    <hyperlink r:id="rId8" ref="G21"/>
    <hyperlink r:id="rId9" ref="G23"/>
    <hyperlink r:id="rId10" ref="G24"/>
    <hyperlink r:id="rId11" ref="G25"/>
  </hyperlinks>
  <drawing r:id="rId1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2.38"/>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1" t="s">
        <v>189</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190</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12.0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7.0</v>
      </c>
      <c r="C7" s="48" t="s">
        <v>34</v>
      </c>
      <c r="D7" s="45">
        <v>19.0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61" t="s">
        <v>45</v>
      </c>
      <c r="L9" s="59" t="s">
        <v>47</v>
      </c>
      <c r="M9" s="59" t="s">
        <v>48</v>
      </c>
      <c r="N9" s="11"/>
      <c r="O9" s="11"/>
      <c r="P9" s="11"/>
      <c r="Q9" s="11"/>
      <c r="R9" s="11"/>
      <c r="S9" s="11"/>
      <c r="T9" s="11"/>
      <c r="U9" s="11"/>
      <c r="V9" s="11"/>
      <c r="W9" s="11"/>
      <c r="X9" s="11"/>
      <c r="Y9" s="11"/>
      <c r="Z9" s="11"/>
      <c r="AA9" s="11"/>
    </row>
    <row r="10">
      <c r="A10" s="63"/>
      <c r="B10" s="63"/>
      <c r="C10" s="63"/>
      <c r="D10" s="65"/>
      <c r="E10" s="14"/>
      <c r="F10" s="14"/>
      <c r="G10" s="63"/>
      <c r="H10" s="63"/>
      <c r="I10" s="63"/>
      <c r="J10" s="63"/>
      <c r="K10" s="63"/>
      <c r="L10" s="63"/>
      <c r="M10" s="63"/>
      <c r="N10" s="11"/>
      <c r="O10" s="11"/>
      <c r="P10" s="11"/>
      <c r="Q10" s="11"/>
      <c r="R10" s="11"/>
      <c r="S10" s="11"/>
      <c r="T10" s="11"/>
      <c r="U10" s="11"/>
      <c r="V10" s="11"/>
      <c r="W10" s="11"/>
      <c r="X10" s="11"/>
      <c r="Y10" s="11"/>
      <c r="Z10" s="11"/>
      <c r="AA10" s="11"/>
    </row>
    <row r="11">
      <c r="A11" s="69"/>
      <c r="B11" s="52"/>
      <c r="C11" s="52"/>
      <c r="D11" s="52"/>
      <c r="E11" s="52"/>
      <c r="F11" s="52"/>
      <c r="G11" s="23"/>
      <c r="H11" s="23"/>
      <c r="I11" s="23"/>
      <c r="J11" s="23"/>
      <c r="K11" s="23"/>
      <c r="L11" s="23"/>
      <c r="M11" s="23"/>
      <c r="N11" s="11"/>
      <c r="O11" s="11"/>
      <c r="P11" s="11"/>
      <c r="Q11" s="11"/>
      <c r="R11" s="11"/>
      <c r="S11" s="11"/>
      <c r="T11" s="11"/>
      <c r="U11" s="11"/>
      <c r="V11" s="11"/>
      <c r="W11" s="11"/>
      <c r="X11" s="11"/>
      <c r="Y11" s="11"/>
      <c r="Z11" s="11"/>
      <c r="AA11" s="11"/>
    </row>
    <row r="12">
      <c r="A12" s="74" t="s">
        <v>57</v>
      </c>
      <c r="B12" s="23"/>
      <c r="C12" s="23"/>
      <c r="D12" s="23"/>
      <c r="E12" s="23"/>
      <c r="F12" s="23"/>
      <c r="G12" s="23"/>
      <c r="H12" s="23"/>
      <c r="I12" s="23"/>
      <c r="J12" s="23"/>
      <c r="K12" s="23"/>
      <c r="L12" s="23"/>
      <c r="M12" s="25"/>
      <c r="N12" s="11"/>
      <c r="O12" s="11"/>
      <c r="P12" s="11"/>
      <c r="Q12" s="11"/>
      <c r="R12" s="11"/>
      <c r="S12" s="11"/>
      <c r="T12" s="11"/>
      <c r="U12" s="11"/>
      <c r="V12" s="11"/>
      <c r="W12" s="11"/>
      <c r="X12" s="11"/>
      <c r="Y12" s="11"/>
      <c r="Z12" s="11"/>
      <c r="AA12" s="11"/>
    </row>
    <row r="13" ht="126.75" customHeight="1">
      <c r="A13" s="76" t="s">
        <v>191</v>
      </c>
      <c r="B13" s="77" t="s">
        <v>192</v>
      </c>
      <c r="C13" s="79" t="s">
        <v>193</v>
      </c>
      <c r="D13" s="81" t="s">
        <v>194</v>
      </c>
      <c r="E13" s="23"/>
      <c r="F13" s="23"/>
      <c r="G13" s="85" t="s">
        <v>195</v>
      </c>
      <c r="H13" s="86">
        <v>46218.0</v>
      </c>
      <c r="I13" s="76" t="s">
        <v>26</v>
      </c>
      <c r="J13" s="79" t="s">
        <v>196</v>
      </c>
      <c r="K13" s="87"/>
      <c r="L13" s="11"/>
      <c r="M13" s="88"/>
      <c r="N13" s="11"/>
      <c r="O13" s="11"/>
      <c r="P13" s="11"/>
      <c r="Q13" s="11"/>
      <c r="R13" s="11"/>
      <c r="S13" s="11"/>
      <c r="T13" s="11"/>
      <c r="U13" s="11"/>
      <c r="V13" s="11"/>
      <c r="W13" s="11"/>
      <c r="X13" s="11"/>
      <c r="Y13" s="11"/>
      <c r="Z13" s="11"/>
      <c r="AA13" s="11"/>
    </row>
    <row r="14">
      <c r="A14" s="74" t="s">
        <v>124</v>
      </c>
      <c r="B14" s="23"/>
      <c r="C14" s="23"/>
      <c r="D14" s="23"/>
      <c r="E14" s="23"/>
      <c r="F14" s="23"/>
      <c r="G14" s="23"/>
      <c r="H14" s="23"/>
      <c r="I14" s="23"/>
      <c r="J14" s="23"/>
      <c r="K14" s="23"/>
      <c r="L14" s="23"/>
      <c r="M14" s="25"/>
      <c r="N14" s="11"/>
      <c r="O14" s="11"/>
      <c r="P14" s="11"/>
      <c r="Q14" s="11"/>
      <c r="R14" s="11"/>
      <c r="S14" s="11"/>
      <c r="T14" s="11"/>
      <c r="U14" s="11"/>
      <c r="V14" s="11"/>
      <c r="W14" s="11"/>
      <c r="X14" s="11"/>
      <c r="Y14" s="11"/>
      <c r="Z14" s="11"/>
      <c r="AA14" s="11"/>
    </row>
    <row r="15">
      <c r="A15" s="76" t="s">
        <v>197</v>
      </c>
      <c r="B15" s="77" t="s">
        <v>198</v>
      </c>
      <c r="C15" s="79" t="s">
        <v>199</v>
      </c>
      <c r="D15" s="81" t="s">
        <v>200</v>
      </c>
      <c r="E15" s="23"/>
      <c r="F15" s="23"/>
      <c r="G15" s="85" t="s">
        <v>201</v>
      </c>
      <c r="H15" s="86">
        <v>46218.0</v>
      </c>
      <c r="I15" s="76" t="s">
        <v>26</v>
      </c>
      <c r="J15" s="79" t="s">
        <v>202</v>
      </c>
      <c r="K15" s="86"/>
      <c r="L15" s="76"/>
      <c r="M15" s="79"/>
      <c r="N15" s="11"/>
      <c r="O15" s="11"/>
      <c r="P15" s="11"/>
      <c r="Q15" s="11"/>
      <c r="R15" s="11"/>
      <c r="S15" s="11"/>
      <c r="T15" s="11"/>
      <c r="U15" s="11"/>
      <c r="V15" s="11"/>
      <c r="W15" s="11"/>
      <c r="X15" s="11"/>
      <c r="Y15" s="11"/>
      <c r="Z15" s="11"/>
      <c r="AA15" s="11"/>
    </row>
    <row r="16" ht="86.25" customHeight="1">
      <c r="A16" s="76" t="s">
        <v>203</v>
      </c>
      <c r="B16" s="77" t="s">
        <v>204</v>
      </c>
      <c r="C16" s="79" t="s">
        <v>205</v>
      </c>
      <c r="D16" s="81" t="s">
        <v>206</v>
      </c>
      <c r="E16" s="23"/>
      <c r="F16" s="23"/>
      <c r="G16" s="85" t="s">
        <v>207</v>
      </c>
      <c r="H16" s="86">
        <v>46218.0</v>
      </c>
      <c r="I16" s="76" t="s">
        <v>26</v>
      </c>
      <c r="J16" s="79" t="s">
        <v>206</v>
      </c>
      <c r="K16" s="87"/>
      <c r="L16" s="87"/>
      <c r="M16" s="88"/>
      <c r="N16" s="11"/>
      <c r="O16" s="11"/>
      <c r="P16" s="11"/>
      <c r="Q16" s="11"/>
      <c r="R16" s="11"/>
      <c r="S16" s="11"/>
      <c r="T16" s="11"/>
      <c r="U16" s="11"/>
      <c r="V16" s="11"/>
      <c r="W16" s="11"/>
      <c r="X16" s="11"/>
      <c r="Y16" s="11"/>
      <c r="Z16" s="11"/>
      <c r="AA16" s="11"/>
    </row>
    <row r="17" ht="84.75" customHeight="1">
      <c r="A17" s="76" t="s">
        <v>208</v>
      </c>
      <c r="B17" s="77" t="s">
        <v>209</v>
      </c>
      <c r="C17" s="79" t="s">
        <v>210</v>
      </c>
      <c r="D17" s="81" t="s">
        <v>211</v>
      </c>
      <c r="E17" s="23"/>
      <c r="F17" s="23"/>
      <c r="G17" s="85" t="s">
        <v>212</v>
      </c>
      <c r="H17" s="86">
        <v>46218.0</v>
      </c>
      <c r="I17" s="76" t="s">
        <v>26</v>
      </c>
      <c r="J17" s="79" t="s">
        <v>211</v>
      </c>
      <c r="K17" s="87"/>
      <c r="L17" s="87"/>
      <c r="M17" s="88"/>
      <c r="N17" s="11"/>
      <c r="O17" s="11"/>
      <c r="P17" s="11"/>
      <c r="Q17" s="11"/>
      <c r="R17" s="11"/>
      <c r="S17" s="11"/>
      <c r="T17" s="11"/>
      <c r="U17" s="11"/>
      <c r="V17" s="11"/>
      <c r="W17" s="11"/>
      <c r="X17" s="11"/>
      <c r="Y17" s="11"/>
      <c r="Z17" s="11"/>
      <c r="AA17" s="11"/>
    </row>
    <row r="18">
      <c r="A18" s="76" t="s">
        <v>213</v>
      </c>
      <c r="B18" s="77" t="s">
        <v>214</v>
      </c>
      <c r="C18" s="79" t="s">
        <v>215</v>
      </c>
      <c r="D18" s="81" t="s">
        <v>216</v>
      </c>
      <c r="E18" s="23"/>
      <c r="F18" s="23"/>
      <c r="G18" s="85" t="s">
        <v>217</v>
      </c>
      <c r="H18" s="86">
        <v>46218.0</v>
      </c>
      <c r="I18" s="76" t="s">
        <v>26</v>
      </c>
      <c r="J18" s="79" t="s">
        <v>216</v>
      </c>
      <c r="K18" s="87"/>
      <c r="L18" s="87"/>
      <c r="M18" s="88"/>
      <c r="N18" s="11"/>
      <c r="O18" s="11"/>
      <c r="P18" s="11"/>
      <c r="Q18" s="11"/>
      <c r="R18" s="11"/>
      <c r="S18" s="11"/>
      <c r="T18" s="11"/>
      <c r="U18" s="11"/>
      <c r="V18" s="11"/>
      <c r="W18" s="11"/>
      <c r="X18" s="11"/>
      <c r="Y18" s="11"/>
      <c r="Z18" s="11"/>
      <c r="AA18" s="11"/>
    </row>
    <row r="19">
      <c r="A19" s="76" t="s">
        <v>218</v>
      </c>
      <c r="B19" s="77" t="s">
        <v>219</v>
      </c>
      <c r="C19" s="79" t="s">
        <v>220</v>
      </c>
      <c r="D19" s="81" t="s">
        <v>221</v>
      </c>
      <c r="E19" s="23"/>
      <c r="F19" s="23"/>
      <c r="G19" s="85" t="s">
        <v>222</v>
      </c>
      <c r="H19" s="86">
        <v>46218.0</v>
      </c>
      <c r="I19" s="76" t="s">
        <v>26</v>
      </c>
      <c r="J19" s="79" t="s">
        <v>221</v>
      </c>
      <c r="K19" s="87"/>
      <c r="L19" s="87"/>
      <c r="M19" s="88"/>
      <c r="N19" s="11"/>
      <c r="O19" s="11"/>
      <c r="P19" s="11"/>
      <c r="Q19" s="11"/>
      <c r="R19" s="11"/>
      <c r="S19" s="11"/>
      <c r="T19" s="11"/>
      <c r="U19" s="11"/>
      <c r="V19" s="11"/>
      <c r="W19" s="11"/>
      <c r="X19" s="11"/>
      <c r="Y19" s="11"/>
      <c r="Z19" s="11"/>
      <c r="AA19" s="11"/>
    </row>
    <row r="20">
      <c r="A20" s="76" t="s">
        <v>223</v>
      </c>
      <c r="B20" s="77" t="s">
        <v>224</v>
      </c>
      <c r="C20" s="79" t="s">
        <v>225</v>
      </c>
      <c r="D20" s="81" t="s">
        <v>226</v>
      </c>
      <c r="E20" s="23"/>
      <c r="F20" s="23"/>
      <c r="G20" s="85" t="s">
        <v>227</v>
      </c>
      <c r="H20" s="86">
        <v>46218.0</v>
      </c>
      <c r="I20" s="76" t="s">
        <v>26</v>
      </c>
      <c r="J20" s="79" t="s">
        <v>226</v>
      </c>
      <c r="K20" s="87"/>
      <c r="L20" s="87"/>
      <c r="M20" s="88"/>
      <c r="N20" s="11"/>
      <c r="O20" s="11"/>
      <c r="P20" s="11"/>
      <c r="Q20" s="11"/>
      <c r="R20" s="11"/>
      <c r="S20" s="11"/>
      <c r="T20" s="11"/>
      <c r="U20" s="11"/>
      <c r="V20" s="11"/>
      <c r="W20" s="11"/>
      <c r="X20" s="11"/>
      <c r="Y20" s="11"/>
      <c r="Z20" s="11"/>
      <c r="AA20" s="11"/>
    </row>
    <row r="21">
      <c r="A21" s="76" t="s">
        <v>228</v>
      </c>
      <c r="B21" s="77" t="s">
        <v>229</v>
      </c>
      <c r="C21" s="79" t="s">
        <v>230</v>
      </c>
      <c r="D21" s="81" t="s">
        <v>231</v>
      </c>
      <c r="E21" s="23"/>
      <c r="F21" s="23"/>
      <c r="G21" s="85" t="s">
        <v>232</v>
      </c>
      <c r="H21" s="86">
        <v>46218.0</v>
      </c>
      <c r="I21" s="76" t="s">
        <v>26</v>
      </c>
      <c r="J21" s="79" t="s">
        <v>231</v>
      </c>
      <c r="K21" s="87"/>
      <c r="L21" s="87"/>
      <c r="M21" s="88"/>
      <c r="N21" s="11"/>
      <c r="O21" s="11"/>
      <c r="P21" s="11"/>
      <c r="Q21" s="11"/>
      <c r="R21" s="11"/>
      <c r="S21" s="11"/>
      <c r="T21" s="11"/>
      <c r="U21" s="11"/>
      <c r="V21" s="11"/>
      <c r="W21" s="11"/>
      <c r="X21" s="11"/>
      <c r="Y21" s="11"/>
      <c r="Z21" s="11"/>
      <c r="AA21" s="11"/>
    </row>
    <row r="22">
      <c r="A22" s="76" t="s">
        <v>233</v>
      </c>
      <c r="B22" s="77" t="s">
        <v>234</v>
      </c>
      <c r="C22" s="79" t="s">
        <v>235</v>
      </c>
      <c r="D22" s="81" t="s">
        <v>236</v>
      </c>
      <c r="E22" s="23"/>
      <c r="F22" s="23"/>
      <c r="G22" s="85" t="s">
        <v>237</v>
      </c>
      <c r="H22" s="86">
        <v>46218.0</v>
      </c>
      <c r="I22" s="76" t="s">
        <v>26</v>
      </c>
      <c r="J22" s="79" t="s">
        <v>236</v>
      </c>
      <c r="K22" s="87"/>
      <c r="L22" s="87"/>
      <c r="M22" s="88"/>
      <c r="N22" s="11"/>
      <c r="O22" s="11"/>
      <c r="P22" s="11"/>
      <c r="Q22" s="11"/>
      <c r="R22" s="11"/>
      <c r="S22" s="11"/>
      <c r="T22" s="11"/>
      <c r="U22" s="11"/>
      <c r="V22" s="11"/>
      <c r="W22" s="11"/>
      <c r="X22" s="11"/>
      <c r="Y22" s="11"/>
      <c r="Z22" s="11"/>
      <c r="AA22" s="11"/>
    </row>
    <row r="23">
      <c r="A23" s="74" t="s">
        <v>238</v>
      </c>
      <c r="B23" s="23"/>
      <c r="C23" s="23"/>
      <c r="D23" s="23"/>
      <c r="E23" s="23"/>
      <c r="F23" s="23"/>
      <c r="G23" s="23"/>
      <c r="H23" s="23"/>
      <c r="I23" s="23"/>
      <c r="J23" s="23"/>
      <c r="K23" s="23"/>
      <c r="L23" s="23"/>
      <c r="M23" s="25"/>
      <c r="N23" s="11"/>
      <c r="O23" s="11"/>
      <c r="P23" s="11"/>
      <c r="Q23" s="11"/>
      <c r="R23" s="11"/>
      <c r="S23" s="11"/>
      <c r="T23" s="11"/>
      <c r="U23" s="11"/>
      <c r="V23" s="11"/>
      <c r="W23" s="11"/>
      <c r="X23" s="11"/>
      <c r="Y23" s="11"/>
      <c r="Z23" s="11"/>
      <c r="AA23" s="11"/>
    </row>
    <row r="24" ht="83.25" customHeight="1">
      <c r="A24" s="76" t="s">
        <v>239</v>
      </c>
      <c r="B24" s="77" t="s">
        <v>240</v>
      </c>
      <c r="C24" s="79" t="s">
        <v>241</v>
      </c>
      <c r="D24" s="81" t="s">
        <v>242</v>
      </c>
      <c r="E24" s="23"/>
      <c r="F24" s="23"/>
      <c r="G24" s="85" t="s">
        <v>243</v>
      </c>
      <c r="H24" s="86">
        <v>46218.0</v>
      </c>
      <c r="I24" s="76" t="s">
        <v>26</v>
      </c>
      <c r="J24" s="79" t="s">
        <v>244</v>
      </c>
      <c r="K24" s="87"/>
      <c r="L24" s="87"/>
      <c r="M24" s="88"/>
      <c r="N24" s="11"/>
      <c r="O24" s="11"/>
      <c r="P24" s="11"/>
      <c r="Q24" s="11"/>
      <c r="R24" s="11"/>
      <c r="S24" s="11"/>
      <c r="T24" s="11"/>
      <c r="U24" s="11"/>
      <c r="V24" s="11"/>
      <c r="W24" s="11"/>
      <c r="X24" s="11"/>
      <c r="Y24" s="11"/>
      <c r="Z24" s="11"/>
      <c r="AA24" s="11"/>
    </row>
    <row r="25" ht="93.75" customHeight="1">
      <c r="A25" s="76" t="s">
        <v>245</v>
      </c>
      <c r="B25" s="77" t="s">
        <v>246</v>
      </c>
      <c r="C25" s="79" t="s">
        <v>247</v>
      </c>
      <c r="D25" s="81" t="s">
        <v>248</v>
      </c>
      <c r="E25" s="23"/>
      <c r="F25" s="23"/>
      <c r="G25" s="85" t="s">
        <v>249</v>
      </c>
      <c r="H25" s="86">
        <v>46218.0</v>
      </c>
      <c r="I25" s="76" t="s">
        <v>28</v>
      </c>
      <c r="J25" s="79" t="s">
        <v>250</v>
      </c>
      <c r="K25" s="86">
        <v>46219.0</v>
      </c>
      <c r="L25" s="76" t="s">
        <v>26</v>
      </c>
      <c r="M25" s="125" t="s">
        <v>251</v>
      </c>
      <c r="N25" s="11"/>
      <c r="O25" s="11"/>
      <c r="P25" s="11"/>
      <c r="Q25" s="11"/>
      <c r="R25" s="11"/>
      <c r="S25" s="11"/>
      <c r="T25" s="11"/>
      <c r="U25" s="11"/>
      <c r="V25" s="11"/>
      <c r="W25" s="11"/>
      <c r="X25" s="11"/>
      <c r="Y25" s="11"/>
      <c r="Z25" s="11"/>
      <c r="AA25" s="11"/>
    </row>
    <row r="26" ht="109.5" customHeight="1">
      <c r="A26" s="76" t="s">
        <v>252</v>
      </c>
      <c r="B26" s="77" t="s">
        <v>253</v>
      </c>
      <c r="C26" s="79" t="s">
        <v>254</v>
      </c>
      <c r="D26" s="81" t="s">
        <v>255</v>
      </c>
      <c r="E26" s="23"/>
      <c r="F26" s="23"/>
      <c r="G26" s="85" t="s">
        <v>256</v>
      </c>
      <c r="H26" s="86">
        <v>46218.0</v>
      </c>
      <c r="I26" s="76" t="s">
        <v>26</v>
      </c>
      <c r="J26" s="79" t="s">
        <v>257</v>
      </c>
      <c r="K26" s="87"/>
      <c r="L26" s="87"/>
      <c r="M26" s="88"/>
      <c r="N26" s="11"/>
      <c r="O26" s="11"/>
      <c r="P26" s="11"/>
      <c r="Q26" s="11"/>
      <c r="R26" s="11"/>
      <c r="S26" s="11"/>
      <c r="T26" s="11"/>
      <c r="U26" s="11"/>
      <c r="V26" s="11"/>
      <c r="W26" s="11"/>
      <c r="X26" s="11"/>
      <c r="Y26" s="11"/>
      <c r="Z26" s="11"/>
      <c r="AA26" s="11"/>
    </row>
    <row r="27" ht="84.75" customHeight="1">
      <c r="A27" s="76" t="s">
        <v>258</v>
      </c>
      <c r="B27" s="77" t="s">
        <v>259</v>
      </c>
      <c r="C27" s="79" t="s">
        <v>260</v>
      </c>
      <c r="D27" s="81" t="s">
        <v>261</v>
      </c>
      <c r="E27" s="23"/>
      <c r="F27" s="23"/>
      <c r="G27" s="85" t="s">
        <v>263</v>
      </c>
      <c r="H27" s="86">
        <v>46218.0</v>
      </c>
      <c r="I27" s="76" t="s">
        <v>28</v>
      </c>
      <c r="J27" s="79" t="s">
        <v>265</v>
      </c>
      <c r="K27" s="86">
        <v>46219.0</v>
      </c>
      <c r="L27" s="76" t="s">
        <v>26</v>
      </c>
      <c r="M27" s="125" t="s">
        <v>266</v>
      </c>
      <c r="N27" s="11"/>
      <c r="O27" s="11"/>
      <c r="P27" s="11"/>
      <c r="Q27" s="11"/>
      <c r="R27" s="11"/>
      <c r="S27" s="11"/>
      <c r="T27" s="11"/>
      <c r="U27" s="11"/>
      <c r="V27" s="11"/>
      <c r="W27" s="11"/>
      <c r="X27" s="11"/>
      <c r="Y27" s="11"/>
      <c r="Z27" s="11"/>
      <c r="AA27" s="11"/>
    </row>
    <row r="28" ht="106.5" customHeight="1">
      <c r="A28" s="76" t="s">
        <v>267</v>
      </c>
      <c r="B28" s="77" t="s">
        <v>268</v>
      </c>
      <c r="C28" s="79" t="s">
        <v>269</v>
      </c>
      <c r="D28" s="81" t="s">
        <v>270</v>
      </c>
      <c r="E28" s="23"/>
      <c r="F28" s="23"/>
      <c r="G28" s="85" t="s">
        <v>271</v>
      </c>
      <c r="H28" s="86">
        <v>46218.0</v>
      </c>
      <c r="I28" s="76" t="s">
        <v>28</v>
      </c>
      <c r="J28" s="79" t="s">
        <v>272</v>
      </c>
      <c r="K28" s="86">
        <v>46219.0</v>
      </c>
      <c r="L28" s="76" t="s">
        <v>26</v>
      </c>
      <c r="M28" s="125" t="s">
        <v>273</v>
      </c>
      <c r="N28" s="11"/>
      <c r="O28" s="11"/>
      <c r="P28" s="11"/>
      <c r="Q28" s="11"/>
      <c r="R28" s="11"/>
      <c r="S28" s="11"/>
      <c r="T28" s="11"/>
      <c r="U28" s="11"/>
      <c r="V28" s="11"/>
      <c r="W28" s="11"/>
      <c r="X28" s="11"/>
      <c r="Y28" s="11"/>
      <c r="Z28" s="11"/>
      <c r="AA28" s="11"/>
    </row>
    <row r="29" ht="108.75" customHeight="1">
      <c r="A29" s="76" t="s">
        <v>274</v>
      </c>
      <c r="B29" s="77" t="s">
        <v>275</v>
      </c>
      <c r="C29" s="79" t="s">
        <v>276</v>
      </c>
      <c r="D29" s="81" t="s">
        <v>277</v>
      </c>
      <c r="E29" s="23"/>
      <c r="F29" s="23"/>
      <c r="G29" s="85" t="s">
        <v>278</v>
      </c>
      <c r="H29" s="86">
        <v>46218.0</v>
      </c>
      <c r="I29" s="76" t="s">
        <v>28</v>
      </c>
      <c r="J29" s="79" t="s">
        <v>281</v>
      </c>
      <c r="K29" s="86">
        <v>46219.0</v>
      </c>
      <c r="L29" s="76" t="s">
        <v>26</v>
      </c>
      <c r="M29" s="125" t="s">
        <v>283</v>
      </c>
      <c r="N29" s="11"/>
      <c r="O29" s="11"/>
      <c r="P29" s="11"/>
      <c r="Q29" s="11"/>
      <c r="R29" s="11"/>
      <c r="S29" s="11"/>
      <c r="T29" s="11"/>
      <c r="U29" s="11"/>
      <c r="V29" s="11"/>
      <c r="W29" s="11"/>
      <c r="X29" s="11"/>
      <c r="Y29" s="11"/>
      <c r="Z29" s="11"/>
      <c r="AA29" s="11"/>
    </row>
    <row r="30" ht="108.75" customHeight="1">
      <c r="A30" s="76" t="s">
        <v>287</v>
      </c>
      <c r="B30" s="77" t="s">
        <v>288</v>
      </c>
      <c r="C30" s="79" t="s">
        <v>289</v>
      </c>
      <c r="D30" s="81" t="s">
        <v>290</v>
      </c>
      <c r="E30" s="23"/>
      <c r="F30" s="23"/>
      <c r="G30" s="85" t="s">
        <v>291</v>
      </c>
      <c r="H30" s="86">
        <v>46218.0</v>
      </c>
      <c r="I30" s="76" t="s">
        <v>28</v>
      </c>
      <c r="J30" s="79" t="s">
        <v>294</v>
      </c>
      <c r="K30" s="86">
        <v>46219.0</v>
      </c>
      <c r="L30" s="76" t="s">
        <v>26</v>
      </c>
      <c r="M30" s="125" t="s">
        <v>295</v>
      </c>
      <c r="N30" s="11"/>
      <c r="O30" s="11"/>
      <c r="P30" s="11"/>
      <c r="Q30" s="11"/>
      <c r="R30" s="11"/>
      <c r="S30" s="11"/>
      <c r="T30" s="11"/>
      <c r="U30" s="11"/>
      <c r="V30" s="11"/>
      <c r="W30" s="11"/>
      <c r="X30" s="11"/>
      <c r="Y30" s="11"/>
      <c r="Z30" s="11"/>
      <c r="AA30" s="11"/>
    </row>
    <row r="31" ht="108.75" customHeight="1">
      <c r="A31" s="76" t="s">
        <v>301</v>
      </c>
      <c r="B31" s="77" t="s">
        <v>302</v>
      </c>
      <c r="C31" s="79" t="s">
        <v>303</v>
      </c>
      <c r="D31" s="81" t="s">
        <v>304</v>
      </c>
      <c r="E31" s="23"/>
      <c r="F31" s="23"/>
      <c r="G31" s="85" t="s">
        <v>305</v>
      </c>
      <c r="H31" s="86">
        <v>46218.0</v>
      </c>
      <c r="I31" s="76" t="s">
        <v>28</v>
      </c>
      <c r="J31" s="79" t="s">
        <v>312</v>
      </c>
      <c r="K31" s="86">
        <v>46219.0</v>
      </c>
      <c r="L31" s="76" t="s">
        <v>26</v>
      </c>
      <c r="M31" s="125" t="s">
        <v>313</v>
      </c>
      <c r="N31" s="11"/>
      <c r="O31" s="11"/>
      <c r="P31" s="11"/>
      <c r="Q31" s="11"/>
      <c r="R31" s="11"/>
      <c r="S31" s="11"/>
      <c r="T31" s="11"/>
      <c r="U31" s="11"/>
      <c r="V31" s="11"/>
      <c r="W31" s="11"/>
      <c r="X31" s="11"/>
      <c r="Y31" s="11"/>
      <c r="Z31" s="11"/>
      <c r="AA31" s="11"/>
    </row>
    <row r="32">
      <c r="A32" s="74" t="s">
        <v>315</v>
      </c>
      <c r="B32" s="23"/>
      <c r="C32" s="23"/>
      <c r="D32" s="23"/>
      <c r="E32" s="23"/>
      <c r="F32" s="23"/>
      <c r="G32" s="23"/>
      <c r="H32" s="23"/>
      <c r="I32" s="23"/>
      <c r="J32" s="23"/>
      <c r="K32" s="23"/>
      <c r="L32" s="23"/>
      <c r="M32" s="25"/>
      <c r="N32" s="11"/>
      <c r="O32" s="11"/>
      <c r="P32" s="11"/>
      <c r="Q32" s="11"/>
      <c r="R32" s="11"/>
      <c r="S32" s="11"/>
      <c r="T32" s="11"/>
      <c r="U32" s="11"/>
      <c r="V32" s="11"/>
      <c r="W32" s="11"/>
      <c r="X32" s="11"/>
      <c r="Y32" s="11"/>
      <c r="Z32" s="11"/>
      <c r="AA32" s="11"/>
    </row>
    <row r="33">
      <c r="A33" s="76" t="s">
        <v>321</v>
      </c>
      <c r="B33" s="77" t="s">
        <v>322</v>
      </c>
      <c r="C33" s="79" t="s">
        <v>323</v>
      </c>
      <c r="D33" s="81" t="s">
        <v>324</v>
      </c>
      <c r="E33" s="23"/>
      <c r="F33" s="23"/>
      <c r="G33" s="85" t="s">
        <v>325</v>
      </c>
      <c r="H33" s="86">
        <v>46218.0</v>
      </c>
      <c r="I33" s="76" t="s">
        <v>28</v>
      </c>
      <c r="J33" s="79" t="s">
        <v>328</v>
      </c>
      <c r="K33" s="86">
        <v>46219.0</v>
      </c>
      <c r="L33" s="76" t="s">
        <v>26</v>
      </c>
      <c r="M33" s="125" t="s">
        <v>329</v>
      </c>
      <c r="N33" s="11"/>
      <c r="O33" s="11"/>
      <c r="P33" s="11"/>
      <c r="Q33" s="11"/>
      <c r="R33" s="11"/>
      <c r="S33" s="11"/>
      <c r="T33" s="11"/>
      <c r="U33" s="11"/>
      <c r="V33" s="11"/>
      <c r="W33" s="11"/>
      <c r="X33" s="11"/>
      <c r="Y33" s="11"/>
      <c r="Z33" s="11"/>
      <c r="AA33" s="11"/>
    </row>
    <row r="34" ht="75.75" customHeight="1">
      <c r="A34" s="76" t="s">
        <v>335</v>
      </c>
      <c r="B34" s="77" t="s">
        <v>336</v>
      </c>
      <c r="C34" s="79" t="s">
        <v>337</v>
      </c>
      <c r="D34" s="81" t="s">
        <v>338</v>
      </c>
      <c r="E34" s="23"/>
      <c r="F34" s="23"/>
      <c r="G34" s="85" t="s">
        <v>339</v>
      </c>
      <c r="H34" s="86">
        <v>46218.0</v>
      </c>
      <c r="I34" s="76" t="s">
        <v>28</v>
      </c>
      <c r="J34" s="79" t="s">
        <v>340</v>
      </c>
      <c r="K34" s="86">
        <v>46219.0</v>
      </c>
      <c r="L34" s="76" t="s">
        <v>26</v>
      </c>
      <c r="M34" s="125" t="s">
        <v>341</v>
      </c>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88"/>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row r="1004">
      <c r="A1004" s="11"/>
      <c r="B1004" s="11"/>
      <c r="C1004" s="11"/>
      <c r="D1004" s="11"/>
      <c r="E1004" s="11"/>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row>
    <row r="1005">
      <c r="A1005" s="11"/>
      <c r="B1005" s="11"/>
      <c r="C1005" s="11"/>
      <c r="D1005" s="11"/>
      <c r="E1005" s="11"/>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row>
    <row r="1006">
      <c r="A1006" s="11"/>
      <c r="B1006" s="11"/>
      <c r="C1006" s="11"/>
      <c r="D1006" s="11"/>
      <c r="E1006" s="11"/>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row>
    <row r="1007">
      <c r="A1007" s="11"/>
      <c r="B1007" s="11"/>
      <c r="C1007" s="11"/>
      <c r="D1007" s="11"/>
      <c r="E1007" s="11"/>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row>
    <row r="1008">
      <c r="A1008" s="11"/>
      <c r="B1008" s="11"/>
      <c r="C1008" s="11"/>
      <c r="D1008" s="11"/>
      <c r="E1008" s="11"/>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row>
    <row r="1009">
      <c r="A1009" s="11"/>
      <c r="B1009" s="11"/>
      <c r="C1009" s="11"/>
      <c r="D1009" s="11"/>
      <c r="E1009" s="11"/>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row>
    <row r="1010">
      <c r="A1010" s="11"/>
      <c r="B1010" s="11"/>
      <c r="C1010" s="11"/>
      <c r="D1010" s="11"/>
      <c r="E1010" s="11"/>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row>
    <row r="1011">
      <c r="A1011" s="134"/>
      <c r="B1011" s="134"/>
      <c r="C1011" s="134"/>
      <c r="D1011" s="134"/>
      <c r="E1011" s="134"/>
      <c r="F1011" s="134"/>
      <c r="G1011" s="134"/>
      <c r="H1011" s="134"/>
      <c r="I1011" s="134"/>
      <c r="J1011" s="134"/>
      <c r="K1011" s="134"/>
      <c r="L1011" s="134"/>
      <c r="M1011" s="134"/>
      <c r="N1011" s="134"/>
      <c r="O1011" s="134"/>
      <c r="P1011" s="134"/>
      <c r="Q1011" s="134"/>
      <c r="R1011" s="134"/>
      <c r="S1011" s="134"/>
      <c r="T1011" s="134"/>
      <c r="U1011" s="134"/>
      <c r="V1011" s="134"/>
      <c r="W1011" s="134"/>
      <c r="X1011" s="134"/>
      <c r="Y1011" s="134"/>
      <c r="Z1011" s="134"/>
      <c r="AA1011" s="134"/>
    </row>
  </sheetData>
  <mergeCells count="39">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A14:M14"/>
    <mergeCell ref="D15:F15"/>
    <mergeCell ref="D16:F16"/>
    <mergeCell ref="D17:F17"/>
    <mergeCell ref="D18:F18"/>
    <mergeCell ref="D19:F19"/>
    <mergeCell ref="D20:F20"/>
    <mergeCell ref="D21:F21"/>
    <mergeCell ref="D22:F22"/>
    <mergeCell ref="A23:M23"/>
    <mergeCell ref="D31:F31"/>
    <mergeCell ref="A32:M32"/>
    <mergeCell ref="D33:F33"/>
    <mergeCell ref="D34:F34"/>
    <mergeCell ref="D24:F24"/>
    <mergeCell ref="D25:F25"/>
    <mergeCell ref="D26:F26"/>
    <mergeCell ref="D27:F27"/>
    <mergeCell ref="D28:F28"/>
    <mergeCell ref="D29:F29"/>
    <mergeCell ref="D30:F30"/>
  </mergeCells>
  <hyperlinks>
    <hyperlink r:id="rId1" ref="G13"/>
    <hyperlink r:id="rId2" ref="G15"/>
    <hyperlink r:id="rId3" ref="G16"/>
    <hyperlink r:id="rId4" ref="G17"/>
    <hyperlink r:id="rId5" ref="G18"/>
    <hyperlink r:id="rId6" ref="G19"/>
    <hyperlink r:id="rId7" ref="G20"/>
    <hyperlink r:id="rId8" ref="G21"/>
    <hyperlink r:id="rId9" ref="G22"/>
    <hyperlink r:id="rId10" ref="G24"/>
    <hyperlink r:id="rId11" ref="G25"/>
    <hyperlink r:id="rId12" ref="M25"/>
    <hyperlink r:id="rId13" ref="G26"/>
    <hyperlink r:id="rId14" ref="G27"/>
    <hyperlink r:id="rId15" ref="M27"/>
    <hyperlink r:id="rId16" ref="G28"/>
    <hyperlink r:id="rId17" ref="M28"/>
    <hyperlink r:id="rId18" ref="G29"/>
    <hyperlink r:id="rId19" ref="M29"/>
    <hyperlink r:id="rId20" ref="G30"/>
    <hyperlink r:id="rId21" ref="M30"/>
    <hyperlink r:id="rId22" ref="G31"/>
    <hyperlink r:id="rId23" ref="M31"/>
    <hyperlink r:id="rId24" ref="G33"/>
    <hyperlink r:id="rId25" ref="M33"/>
    <hyperlink r:id="rId26" ref="G34"/>
    <hyperlink r:id="rId27" ref="M34"/>
  </hyperlinks>
  <drawing r:id="rId2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29.38"/>
    <col customWidth="1" min="3" max="3" width="38.0"/>
    <col customWidth="1" min="6" max="6" width="19.0"/>
    <col customWidth="1" min="7" max="7" width="18.5"/>
    <col customWidth="1" min="8" max="8" width="20.13"/>
    <col customWidth="1" min="9" max="9" width="15.5"/>
    <col customWidth="1" min="10" max="10" width="21.38"/>
    <col customWidth="1" min="11" max="12" width="19.88"/>
    <col customWidth="1" min="13" max="13" width="21.13"/>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8" t="s">
        <v>262</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264</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7.0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2.0</v>
      </c>
      <c r="C7" s="48" t="s">
        <v>34</v>
      </c>
      <c r="D7" s="45">
        <v>9.0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61" t="s">
        <v>45</v>
      </c>
      <c r="L9" s="59" t="s">
        <v>47</v>
      </c>
      <c r="M9" s="59" t="s">
        <v>48</v>
      </c>
      <c r="N9" s="11"/>
      <c r="O9" s="11"/>
      <c r="P9" s="11"/>
      <c r="Q9" s="11"/>
      <c r="R9" s="11"/>
      <c r="S9" s="11"/>
      <c r="T9" s="11"/>
      <c r="U9" s="11"/>
      <c r="V9" s="11"/>
      <c r="W9" s="11"/>
      <c r="X9" s="11"/>
      <c r="Y9" s="11"/>
      <c r="Z9" s="11"/>
      <c r="AA9" s="11"/>
    </row>
    <row r="10">
      <c r="A10" s="63"/>
      <c r="B10" s="63"/>
      <c r="C10" s="63"/>
      <c r="D10" s="65"/>
      <c r="E10" s="14"/>
      <c r="F10" s="14"/>
      <c r="G10" s="63"/>
      <c r="H10" s="63"/>
      <c r="I10" s="63"/>
      <c r="J10" s="63"/>
      <c r="K10" s="63"/>
      <c r="L10" s="63"/>
      <c r="M10" s="63"/>
      <c r="N10" s="11"/>
      <c r="O10" s="11"/>
      <c r="P10" s="11"/>
      <c r="Q10" s="11"/>
      <c r="R10" s="11"/>
      <c r="S10" s="11"/>
      <c r="T10" s="11"/>
      <c r="U10" s="11"/>
      <c r="V10" s="11"/>
      <c r="W10" s="11"/>
      <c r="X10" s="11"/>
      <c r="Y10" s="11"/>
      <c r="Z10" s="11"/>
      <c r="AA10" s="11"/>
    </row>
    <row r="11">
      <c r="A11" s="69"/>
      <c r="B11" s="52"/>
      <c r="C11" s="52"/>
      <c r="D11" s="52"/>
      <c r="E11" s="52"/>
      <c r="F11" s="52"/>
      <c r="G11" s="23"/>
      <c r="H11" s="23"/>
      <c r="I11" s="23"/>
      <c r="J11" s="23"/>
      <c r="K11" s="23"/>
      <c r="L11" s="23"/>
      <c r="M11" s="23"/>
      <c r="N11" s="11"/>
      <c r="O11" s="11"/>
      <c r="P11" s="11"/>
      <c r="Q11" s="11"/>
      <c r="R11" s="11"/>
      <c r="S11" s="11"/>
      <c r="T11" s="11"/>
      <c r="U11" s="11"/>
      <c r="V11" s="11"/>
      <c r="W11" s="11"/>
      <c r="X11" s="11"/>
      <c r="Y11" s="11"/>
      <c r="Z11" s="11"/>
      <c r="AA11" s="11"/>
    </row>
    <row r="12">
      <c r="A12" s="74" t="s">
        <v>279</v>
      </c>
      <c r="B12" s="23"/>
      <c r="C12" s="23"/>
      <c r="D12" s="23"/>
      <c r="E12" s="23"/>
      <c r="F12" s="23"/>
      <c r="G12" s="23"/>
      <c r="H12" s="23"/>
      <c r="I12" s="23"/>
      <c r="J12" s="23"/>
      <c r="K12" s="23"/>
      <c r="L12" s="23"/>
      <c r="M12" s="25"/>
      <c r="N12" s="11"/>
      <c r="O12" s="11"/>
      <c r="P12" s="11"/>
      <c r="Q12" s="11"/>
      <c r="R12" s="11"/>
      <c r="S12" s="11"/>
      <c r="T12" s="11"/>
      <c r="U12" s="11"/>
      <c r="V12" s="11"/>
      <c r="W12" s="11"/>
      <c r="X12" s="11"/>
      <c r="Y12" s="11"/>
      <c r="Z12" s="11"/>
      <c r="AA12" s="11"/>
    </row>
    <row r="13" ht="138.75" customHeight="1">
      <c r="A13" s="76" t="s">
        <v>280</v>
      </c>
      <c r="B13" s="77" t="s">
        <v>282</v>
      </c>
      <c r="C13" s="79" t="s">
        <v>284</v>
      </c>
      <c r="D13" s="81" t="s">
        <v>285</v>
      </c>
      <c r="E13" s="23"/>
      <c r="F13" s="23"/>
      <c r="G13" s="85" t="s">
        <v>286</v>
      </c>
      <c r="H13" s="86">
        <v>46226.0</v>
      </c>
      <c r="I13" s="76" t="s">
        <v>26</v>
      </c>
      <c r="J13" s="79" t="s">
        <v>292</v>
      </c>
      <c r="K13" s="87"/>
      <c r="L13" s="11"/>
      <c r="M13" s="88"/>
      <c r="N13" s="11"/>
      <c r="O13" s="11"/>
      <c r="P13" s="11"/>
      <c r="Q13" s="11"/>
      <c r="R13" s="11"/>
      <c r="S13" s="11"/>
      <c r="T13" s="11"/>
      <c r="U13" s="11"/>
      <c r="V13" s="11"/>
      <c r="W13" s="11"/>
      <c r="X13" s="11"/>
      <c r="Y13" s="11"/>
      <c r="Z13" s="11"/>
      <c r="AA13" s="11"/>
    </row>
    <row r="14">
      <c r="A14" s="74" t="s">
        <v>293</v>
      </c>
      <c r="B14" s="23"/>
      <c r="C14" s="23"/>
      <c r="D14" s="23"/>
      <c r="E14" s="23"/>
      <c r="F14" s="23"/>
      <c r="G14" s="23"/>
      <c r="H14" s="23"/>
      <c r="I14" s="23"/>
      <c r="J14" s="23"/>
      <c r="K14" s="23"/>
      <c r="L14" s="23"/>
      <c r="M14" s="25"/>
      <c r="N14" s="11"/>
      <c r="O14" s="11"/>
      <c r="P14" s="11"/>
      <c r="Q14" s="11"/>
      <c r="R14" s="11"/>
      <c r="S14" s="11"/>
      <c r="T14" s="11"/>
      <c r="U14" s="11"/>
      <c r="V14" s="11"/>
      <c r="W14" s="11"/>
      <c r="X14" s="11"/>
      <c r="Y14" s="11"/>
      <c r="Z14" s="11"/>
      <c r="AA14" s="11"/>
    </row>
    <row r="15" ht="100.5" customHeight="1">
      <c r="A15" s="76" t="s">
        <v>296</v>
      </c>
      <c r="B15" s="77" t="s">
        <v>297</v>
      </c>
      <c r="C15" s="79" t="s">
        <v>298</v>
      </c>
      <c r="D15" s="81" t="s">
        <v>299</v>
      </c>
      <c r="E15" s="23"/>
      <c r="F15" s="23"/>
      <c r="G15" s="85" t="s">
        <v>300</v>
      </c>
      <c r="H15" s="86">
        <v>46226.0</v>
      </c>
      <c r="I15" s="76" t="s">
        <v>26</v>
      </c>
      <c r="J15" s="79" t="s">
        <v>306</v>
      </c>
      <c r="K15" s="87"/>
      <c r="L15" s="87"/>
      <c r="M15" s="88"/>
      <c r="N15" s="11"/>
      <c r="O15" s="11"/>
      <c r="P15" s="11"/>
      <c r="Q15" s="11"/>
      <c r="R15" s="11"/>
      <c r="S15" s="11"/>
      <c r="T15" s="11"/>
      <c r="U15" s="11"/>
      <c r="V15" s="11"/>
      <c r="W15" s="11"/>
      <c r="X15" s="11"/>
      <c r="Y15" s="11"/>
      <c r="Z15" s="11"/>
      <c r="AA15" s="11"/>
    </row>
    <row r="16" ht="114.0" customHeight="1">
      <c r="A16" s="76" t="s">
        <v>307</v>
      </c>
      <c r="B16" s="77" t="s">
        <v>308</v>
      </c>
      <c r="C16" s="79" t="s">
        <v>309</v>
      </c>
      <c r="D16" s="81" t="s">
        <v>310</v>
      </c>
      <c r="E16" s="23"/>
      <c r="F16" s="23"/>
      <c r="G16" s="85" t="s">
        <v>311</v>
      </c>
      <c r="H16" s="86">
        <v>46226.0</v>
      </c>
      <c r="I16" s="76" t="s">
        <v>26</v>
      </c>
      <c r="J16" s="79" t="s">
        <v>314</v>
      </c>
      <c r="K16" s="87"/>
      <c r="L16" s="87"/>
      <c r="M16" s="88"/>
      <c r="N16" s="11"/>
      <c r="O16" s="11"/>
      <c r="P16" s="11"/>
      <c r="Q16" s="11"/>
      <c r="R16" s="11"/>
      <c r="S16" s="11"/>
      <c r="T16" s="11"/>
      <c r="U16" s="11"/>
      <c r="V16" s="11"/>
      <c r="W16" s="11"/>
      <c r="X16" s="11"/>
      <c r="Y16" s="11"/>
      <c r="Z16" s="11"/>
      <c r="AA16" s="11"/>
    </row>
    <row r="17">
      <c r="A17" s="76" t="s">
        <v>316</v>
      </c>
      <c r="B17" s="77" t="s">
        <v>317</v>
      </c>
      <c r="C17" s="79" t="s">
        <v>318</v>
      </c>
      <c r="D17" s="81" t="s">
        <v>319</v>
      </c>
      <c r="E17" s="23"/>
      <c r="F17" s="23"/>
      <c r="G17" s="85" t="s">
        <v>320</v>
      </c>
      <c r="H17" s="86">
        <v>46226.0</v>
      </c>
      <c r="I17" s="76" t="s">
        <v>26</v>
      </c>
      <c r="J17" s="79" t="s">
        <v>326</v>
      </c>
      <c r="K17" s="87"/>
      <c r="L17" s="87"/>
      <c r="M17" s="88"/>
      <c r="N17" s="11"/>
      <c r="O17" s="11"/>
      <c r="P17" s="11"/>
      <c r="Q17" s="11"/>
      <c r="R17" s="11"/>
      <c r="S17" s="11"/>
      <c r="T17" s="11"/>
      <c r="U17" s="11"/>
      <c r="V17" s="11"/>
      <c r="W17" s="11"/>
      <c r="X17" s="11"/>
      <c r="Y17" s="11"/>
      <c r="Z17" s="11"/>
      <c r="AA17" s="11"/>
    </row>
    <row r="18">
      <c r="A18" s="74" t="s">
        <v>327</v>
      </c>
      <c r="B18" s="23"/>
      <c r="C18" s="23"/>
      <c r="D18" s="23"/>
      <c r="E18" s="23"/>
      <c r="F18" s="23"/>
      <c r="G18" s="23"/>
      <c r="H18" s="23"/>
      <c r="I18" s="23"/>
      <c r="J18" s="23"/>
      <c r="K18" s="23"/>
      <c r="L18" s="23"/>
      <c r="M18" s="25"/>
      <c r="N18" s="11"/>
      <c r="O18" s="11"/>
      <c r="P18" s="11"/>
      <c r="Q18" s="11"/>
      <c r="R18" s="11"/>
      <c r="S18" s="11"/>
      <c r="T18" s="11"/>
      <c r="U18" s="11"/>
      <c r="V18" s="11"/>
      <c r="W18" s="11"/>
      <c r="X18" s="11"/>
      <c r="Y18" s="11"/>
      <c r="Z18" s="11"/>
      <c r="AA18" s="11"/>
    </row>
    <row r="19" ht="98.25" customHeight="1">
      <c r="A19" s="76" t="s">
        <v>330</v>
      </c>
      <c r="B19" s="77" t="s">
        <v>331</v>
      </c>
      <c r="C19" s="79" t="s">
        <v>332</v>
      </c>
      <c r="D19" s="81" t="s">
        <v>333</v>
      </c>
      <c r="E19" s="23"/>
      <c r="F19" s="23"/>
      <c r="G19" s="85" t="s">
        <v>334</v>
      </c>
      <c r="H19" s="86">
        <v>46226.0</v>
      </c>
      <c r="I19" s="76" t="s">
        <v>26</v>
      </c>
      <c r="J19" s="79" t="s">
        <v>342</v>
      </c>
      <c r="K19" s="87"/>
      <c r="L19" s="87"/>
      <c r="M19" s="88"/>
      <c r="N19" s="11"/>
      <c r="O19" s="11"/>
      <c r="P19" s="11"/>
      <c r="Q19" s="11"/>
      <c r="R19" s="11"/>
      <c r="S19" s="11"/>
      <c r="T19" s="11"/>
      <c r="U19" s="11"/>
      <c r="V19" s="11"/>
      <c r="W19" s="11"/>
      <c r="X19" s="11"/>
      <c r="Y19" s="11"/>
      <c r="Z19" s="11"/>
      <c r="AA19" s="11"/>
    </row>
    <row r="20" ht="111.75" customHeight="1">
      <c r="A20" s="76" t="s">
        <v>343</v>
      </c>
      <c r="B20" s="77" t="s">
        <v>344</v>
      </c>
      <c r="C20" s="79" t="s">
        <v>345</v>
      </c>
      <c r="D20" s="81" t="s">
        <v>346</v>
      </c>
      <c r="E20" s="23"/>
      <c r="F20" s="23"/>
      <c r="G20" s="85" t="s">
        <v>347</v>
      </c>
      <c r="H20" s="86">
        <v>46226.0</v>
      </c>
      <c r="I20" s="76" t="s">
        <v>26</v>
      </c>
      <c r="J20" s="79" t="s">
        <v>342</v>
      </c>
      <c r="K20" s="87"/>
      <c r="L20" s="87"/>
      <c r="M20" s="88"/>
      <c r="N20" s="11"/>
      <c r="O20" s="11"/>
      <c r="P20" s="11"/>
      <c r="Q20" s="11"/>
      <c r="R20" s="11"/>
      <c r="S20" s="11"/>
      <c r="T20" s="11"/>
      <c r="U20" s="11"/>
      <c r="V20" s="11"/>
      <c r="W20" s="11"/>
      <c r="X20" s="11"/>
      <c r="Y20" s="11"/>
      <c r="Z20" s="11"/>
      <c r="AA20" s="11"/>
    </row>
    <row r="21">
      <c r="A21" s="74" t="s">
        <v>157</v>
      </c>
      <c r="B21" s="23"/>
      <c r="C21" s="23"/>
      <c r="D21" s="23"/>
      <c r="E21" s="23"/>
      <c r="F21" s="23"/>
      <c r="G21" s="23"/>
      <c r="H21" s="23"/>
      <c r="I21" s="23"/>
      <c r="J21" s="23"/>
      <c r="K21" s="23"/>
      <c r="L21" s="23"/>
      <c r="M21" s="25"/>
      <c r="N21" s="11"/>
      <c r="O21" s="11"/>
      <c r="P21" s="11"/>
      <c r="Q21" s="11"/>
      <c r="R21" s="11"/>
      <c r="S21" s="11"/>
      <c r="T21" s="11"/>
      <c r="U21" s="11"/>
      <c r="V21" s="11"/>
      <c r="W21" s="11"/>
      <c r="X21" s="11"/>
      <c r="Y21" s="11"/>
      <c r="Z21" s="11"/>
      <c r="AA21" s="11"/>
    </row>
    <row r="22" ht="114.0" customHeight="1">
      <c r="A22" s="76" t="s">
        <v>348</v>
      </c>
      <c r="B22" s="77" t="s">
        <v>349</v>
      </c>
      <c r="C22" s="79" t="s">
        <v>350</v>
      </c>
      <c r="D22" s="81" t="s">
        <v>351</v>
      </c>
      <c r="E22" s="23"/>
      <c r="F22" s="23"/>
      <c r="G22" s="85" t="s">
        <v>352</v>
      </c>
      <c r="H22" s="86">
        <v>46226.0</v>
      </c>
      <c r="I22" s="76" t="s">
        <v>26</v>
      </c>
      <c r="J22" s="79" t="s">
        <v>342</v>
      </c>
      <c r="K22" s="87"/>
      <c r="L22" s="87"/>
      <c r="M22" s="88"/>
      <c r="N22" s="11"/>
      <c r="O22" s="11"/>
      <c r="P22" s="11"/>
      <c r="Q22" s="11"/>
      <c r="R22" s="11"/>
      <c r="S22" s="11"/>
      <c r="T22" s="11"/>
      <c r="U22" s="11"/>
      <c r="V22" s="11"/>
      <c r="W22" s="11"/>
      <c r="X22" s="11"/>
      <c r="Y22" s="11"/>
      <c r="Z22" s="11"/>
      <c r="AA22" s="11"/>
    </row>
    <row r="23" ht="125.25" customHeight="1">
      <c r="A23" s="76" t="s">
        <v>353</v>
      </c>
      <c r="B23" s="77" t="s">
        <v>354</v>
      </c>
      <c r="C23" s="79" t="s">
        <v>355</v>
      </c>
      <c r="D23" s="81" t="s">
        <v>356</v>
      </c>
      <c r="E23" s="23"/>
      <c r="F23" s="23"/>
      <c r="G23" s="85" t="s">
        <v>357</v>
      </c>
      <c r="H23" s="86">
        <v>46226.0</v>
      </c>
      <c r="I23" s="76" t="s">
        <v>28</v>
      </c>
      <c r="J23" s="79" t="s">
        <v>358</v>
      </c>
      <c r="K23" s="86">
        <v>46226.0</v>
      </c>
      <c r="L23" s="76" t="s">
        <v>26</v>
      </c>
      <c r="M23" s="125" t="s">
        <v>359</v>
      </c>
    </row>
    <row r="24">
      <c r="A24" s="74" t="s">
        <v>360</v>
      </c>
      <c r="B24" s="23"/>
      <c r="C24" s="23"/>
      <c r="D24" s="23"/>
      <c r="E24" s="23"/>
      <c r="F24" s="23"/>
      <c r="G24" s="23"/>
      <c r="H24" s="23"/>
      <c r="I24" s="23"/>
      <c r="J24" s="23"/>
      <c r="K24" s="23"/>
      <c r="L24" s="23"/>
      <c r="M24" s="25"/>
      <c r="N24" s="11"/>
      <c r="O24" s="11"/>
      <c r="P24" s="11"/>
      <c r="Q24" s="11"/>
      <c r="R24" s="11"/>
      <c r="S24" s="11"/>
      <c r="T24" s="11"/>
      <c r="U24" s="11"/>
      <c r="V24" s="11"/>
      <c r="W24" s="11"/>
      <c r="X24" s="11"/>
      <c r="Y24" s="11"/>
      <c r="Z24" s="11"/>
      <c r="AA24" s="11"/>
    </row>
    <row r="25" ht="115.5" customHeight="1">
      <c r="A25" s="76" t="s">
        <v>361</v>
      </c>
      <c r="B25" s="77" t="s">
        <v>362</v>
      </c>
      <c r="C25" s="79" t="s">
        <v>363</v>
      </c>
      <c r="D25" s="81" t="s">
        <v>364</v>
      </c>
      <c r="E25" s="23"/>
      <c r="F25" s="23"/>
      <c r="G25" s="85" t="s">
        <v>365</v>
      </c>
      <c r="H25" s="86">
        <v>46252.0</v>
      </c>
      <c r="I25" s="76" t="s">
        <v>28</v>
      </c>
      <c r="J25" s="79" t="s">
        <v>366</v>
      </c>
      <c r="K25" s="86"/>
      <c r="L25" s="86"/>
      <c r="M25" s="126"/>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27"/>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88"/>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sheetData>
  <mergeCells count="30">
    <mergeCell ref="B1:D2"/>
    <mergeCell ref="B3:D3"/>
    <mergeCell ref="B4:D4"/>
    <mergeCell ref="B5:D5"/>
    <mergeCell ref="A9:A10"/>
    <mergeCell ref="B9:B10"/>
    <mergeCell ref="C9:C10"/>
    <mergeCell ref="D9:F10"/>
    <mergeCell ref="G9:G10"/>
    <mergeCell ref="H9:H10"/>
    <mergeCell ref="I9:I10"/>
    <mergeCell ref="J9:J10"/>
    <mergeCell ref="K9:K10"/>
    <mergeCell ref="L9:L10"/>
    <mergeCell ref="M9:M10"/>
    <mergeCell ref="F11:M11"/>
    <mergeCell ref="A12:M12"/>
    <mergeCell ref="D13:F13"/>
    <mergeCell ref="A14:M14"/>
    <mergeCell ref="D15:F15"/>
    <mergeCell ref="D16:F16"/>
    <mergeCell ref="D23:F23"/>
    <mergeCell ref="D25:F25"/>
    <mergeCell ref="D17:F17"/>
    <mergeCell ref="A18:M18"/>
    <mergeCell ref="D19:F19"/>
    <mergeCell ref="D20:F20"/>
    <mergeCell ref="A21:M21"/>
    <mergeCell ref="D22:F22"/>
    <mergeCell ref="A24:M24"/>
  </mergeCells>
  <hyperlinks>
    <hyperlink r:id="rId1" ref="G13"/>
    <hyperlink r:id="rId2" ref="G15"/>
    <hyperlink r:id="rId3" ref="G16"/>
    <hyperlink r:id="rId4" ref="G17"/>
    <hyperlink r:id="rId5" ref="G19"/>
    <hyperlink r:id="rId6" ref="G20"/>
    <hyperlink r:id="rId7" ref="G22"/>
    <hyperlink r:id="rId8" ref="G23"/>
    <hyperlink r:id="rId9" ref="M23"/>
    <hyperlink r:id="rId10" ref="G25"/>
  </hyperlinks>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5.63"/>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8" t="s">
        <v>367</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368</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5.0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4.0</v>
      </c>
      <c r="C7" s="48" t="s">
        <v>34</v>
      </c>
      <c r="D7" s="45">
        <v>9.0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61" t="s">
        <v>45</v>
      </c>
      <c r="L9" s="59" t="s">
        <v>47</v>
      </c>
      <c r="M9" s="59" t="s">
        <v>48</v>
      </c>
      <c r="N9" s="11"/>
      <c r="O9" s="11"/>
      <c r="P9" s="11"/>
      <c r="Q9" s="11"/>
      <c r="R9" s="11"/>
      <c r="S9" s="11"/>
      <c r="T9" s="11"/>
      <c r="U9" s="11"/>
      <c r="V9" s="11"/>
      <c r="W9" s="11"/>
      <c r="X9" s="11"/>
      <c r="Y9" s="11"/>
      <c r="Z9" s="11"/>
      <c r="AA9" s="11"/>
    </row>
    <row r="10">
      <c r="A10" s="63"/>
      <c r="B10" s="63"/>
      <c r="C10" s="63"/>
      <c r="D10" s="65"/>
      <c r="E10" s="14"/>
      <c r="F10" s="14"/>
      <c r="G10" s="63"/>
      <c r="H10" s="63"/>
      <c r="I10" s="63"/>
      <c r="J10" s="63"/>
      <c r="K10" s="63"/>
      <c r="L10" s="63"/>
      <c r="M10" s="63"/>
      <c r="N10" s="11"/>
      <c r="O10" s="11"/>
      <c r="P10" s="11"/>
      <c r="Q10" s="11"/>
      <c r="R10" s="11"/>
      <c r="S10" s="11"/>
      <c r="T10" s="11"/>
      <c r="U10" s="11"/>
      <c r="V10" s="11"/>
      <c r="W10" s="11"/>
      <c r="X10" s="11"/>
      <c r="Y10" s="11"/>
      <c r="Z10" s="11"/>
      <c r="AA10" s="11"/>
    </row>
    <row r="11">
      <c r="A11" s="69"/>
      <c r="B11" s="52"/>
      <c r="C11" s="52"/>
      <c r="D11" s="52"/>
      <c r="E11" s="52"/>
      <c r="F11" s="52"/>
      <c r="G11" s="23"/>
      <c r="H11" s="23"/>
      <c r="I11" s="23"/>
      <c r="J11" s="23"/>
      <c r="K11" s="23"/>
      <c r="L11" s="23"/>
      <c r="M11" s="23"/>
      <c r="N11" s="11"/>
      <c r="O11" s="11"/>
      <c r="P11" s="11"/>
      <c r="Q11" s="11"/>
      <c r="R11" s="11"/>
      <c r="S11" s="11"/>
      <c r="T11" s="11"/>
      <c r="U11" s="11"/>
      <c r="V11" s="11"/>
      <c r="W11" s="11"/>
      <c r="X11" s="11"/>
      <c r="Y11" s="11"/>
      <c r="Z11" s="11"/>
      <c r="AA11" s="11"/>
    </row>
    <row r="12">
      <c r="A12" s="74" t="s">
        <v>369</v>
      </c>
      <c r="B12" s="23"/>
      <c r="C12" s="23"/>
      <c r="D12" s="23"/>
      <c r="E12" s="23"/>
      <c r="F12" s="23"/>
      <c r="G12" s="23"/>
      <c r="H12" s="23"/>
      <c r="I12" s="23"/>
      <c r="J12" s="23"/>
      <c r="K12" s="23"/>
      <c r="L12" s="23"/>
      <c r="M12" s="25"/>
      <c r="N12" s="11"/>
      <c r="O12" s="11"/>
      <c r="P12" s="11"/>
      <c r="Q12" s="11"/>
      <c r="R12" s="11"/>
      <c r="S12" s="11"/>
      <c r="T12" s="11"/>
      <c r="U12" s="11"/>
      <c r="V12" s="11"/>
      <c r="W12" s="11"/>
      <c r="X12" s="11"/>
      <c r="Y12" s="11"/>
      <c r="Z12" s="11"/>
      <c r="AA12" s="11"/>
    </row>
    <row r="13" ht="135.75" customHeight="1">
      <c r="A13" s="76" t="s">
        <v>370</v>
      </c>
      <c r="B13" s="77" t="s">
        <v>371</v>
      </c>
      <c r="C13" s="79" t="s">
        <v>372</v>
      </c>
      <c r="D13" s="81" t="s">
        <v>373</v>
      </c>
      <c r="E13" s="23"/>
      <c r="F13" s="23"/>
      <c r="G13" s="85" t="s">
        <v>374</v>
      </c>
      <c r="H13" s="86">
        <v>46232.0</v>
      </c>
      <c r="I13" s="76" t="s">
        <v>26</v>
      </c>
      <c r="J13" s="79" t="s">
        <v>375</v>
      </c>
      <c r="K13" s="87"/>
      <c r="L13" s="11"/>
      <c r="M13" s="88"/>
      <c r="N13" s="11"/>
      <c r="O13" s="11"/>
      <c r="P13" s="11"/>
      <c r="Q13" s="11"/>
      <c r="R13" s="11"/>
      <c r="S13" s="11"/>
      <c r="T13" s="11"/>
      <c r="U13" s="11"/>
      <c r="V13" s="11"/>
      <c r="W13" s="11"/>
      <c r="X13" s="11"/>
      <c r="Y13" s="11"/>
      <c r="Z13" s="11"/>
      <c r="AA13" s="11"/>
    </row>
    <row r="14">
      <c r="A14" s="74" t="s">
        <v>376</v>
      </c>
      <c r="B14" s="23"/>
      <c r="C14" s="23"/>
      <c r="D14" s="23"/>
      <c r="E14" s="23"/>
      <c r="F14" s="23"/>
      <c r="G14" s="23"/>
      <c r="H14" s="23"/>
      <c r="I14" s="23"/>
      <c r="J14" s="23"/>
      <c r="K14" s="23"/>
      <c r="L14" s="23"/>
      <c r="M14" s="25"/>
      <c r="N14" s="11"/>
      <c r="O14" s="11"/>
      <c r="P14" s="11"/>
      <c r="Q14" s="11"/>
      <c r="R14" s="11"/>
      <c r="S14" s="11"/>
      <c r="T14" s="11"/>
      <c r="U14" s="11"/>
      <c r="V14" s="11"/>
      <c r="W14" s="11"/>
      <c r="X14" s="11"/>
      <c r="Y14" s="11"/>
      <c r="Z14" s="11"/>
      <c r="AA14" s="11"/>
    </row>
    <row r="15" ht="129.0" customHeight="1">
      <c r="A15" s="76" t="s">
        <v>377</v>
      </c>
      <c r="B15" s="77" t="s">
        <v>378</v>
      </c>
      <c r="C15" s="79" t="s">
        <v>379</v>
      </c>
      <c r="D15" s="81" t="s">
        <v>380</v>
      </c>
      <c r="E15" s="23"/>
      <c r="F15" s="23"/>
      <c r="G15" s="85" t="s">
        <v>381</v>
      </c>
      <c r="H15" s="86">
        <v>46232.0</v>
      </c>
      <c r="I15" s="76" t="s">
        <v>26</v>
      </c>
      <c r="J15" s="79" t="s">
        <v>382</v>
      </c>
      <c r="K15" s="87"/>
      <c r="L15" s="87"/>
      <c r="M15" s="88"/>
      <c r="N15" s="11"/>
      <c r="O15" s="11"/>
      <c r="P15" s="11"/>
      <c r="Q15" s="11"/>
      <c r="R15" s="11"/>
      <c r="S15" s="11"/>
      <c r="T15" s="11"/>
      <c r="U15" s="11"/>
      <c r="V15" s="11"/>
      <c r="W15" s="11"/>
      <c r="X15" s="11"/>
      <c r="Y15" s="11"/>
      <c r="Z15" s="11"/>
      <c r="AA15" s="11"/>
    </row>
    <row r="16" ht="134.25" customHeight="1">
      <c r="A16" s="76" t="s">
        <v>383</v>
      </c>
      <c r="B16" s="77" t="s">
        <v>384</v>
      </c>
      <c r="C16" s="79" t="s">
        <v>385</v>
      </c>
      <c r="D16" s="81" t="s">
        <v>386</v>
      </c>
      <c r="E16" s="23"/>
      <c r="F16" s="23"/>
      <c r="G16" s="85" t="s">
        <v>387</v>
      </c>
      <c r="H16" s="86">
        <v>46232.0</v>
      </c>
      <c r="I16" s="76" t="s">
        <v>26</v>
      </c>
      <c r="J16" s="79" t="s">
        <v>388</v>
      </c>
      <c r="K16" s="87"/>
      <c r="L16" s="87"/>
      <c r="M16" s="88"/>
      <c r="N16" s="11"/>
      <c r="O16" s="11"/>
      <c r="P16" s="11"/>
      <c r="Q16" s="11"/>
      <c r="R16" s="11"/>
      <c r="S16" s="11"/>
      <c r="T16" s="11"/>
      <c r="U16" s="11"/>
      <c r="V16" s="11"/>
      <c r="W16" s="11"/>
      <c r="X16" s="11"/>
      <c r="Y16" s="11"/>
      <c r="Z16" s="11"/>
      <c r="AA16" s="11"/>
    </row>
    <row r="17">
      <c r="A17" s="74" t="s">
        <v>389</v>
      </c>
      <c r="B17" s="23"/>
      <c r="C17" s="23"/>
      <c r="D17" s="23"/>
      <c r="E17" s="23"/>
      <c r="F17" s="23"/>
      <c r="G17" s="23"/>
      <c r="H17" s="23"/>
      <c r="I17" s="23"/>
      <c r="J17" s="23"/>
      <c r="K17" s="23"/>
      <c r="L17" s="23"/>
      <c r="M17" s="25"/>
      <c r="N17" s="11"/>
      <c r="O17" s="11"/>
      <c r="P17" s="11"/>
      <c r="Q17" s="11"/>
      <c r="R17" s="11"/>
      <c r="S17" s="11"/>
      <c r="T17" s="11"/>
      <c r="U17" s="11"/>
      <c r="V17" s="11"/>
      <c r="W17" s="11"/>
      <c r="X17" s="11"/>
      <c r="Y17" s="11"/>
      <c r="Z17" s="11"/>
      <c r="AA17" s="11"/>
    </row>
    <row r="18" ht="117.0" customHeight="1">
      <c r="A18" s="76" t="s">
        <v>390</v>
      </c>
      <c r="B18" s="77" t="s">
        <v>391</v>
      </c>
      <c r="C18" s="79" t="s">
        <v>392</v>
      </c>
      <c r="D18" s="81" t="s">
        <v>393</v>
      </c>
      <c r="E18" s="23"/>
      <c r="F18" s="23"/>
      <c r="G18" s="85" t="s">
        <v>394</v>
      </c>
      <c r="H18" s="86">
        <v>46232.0</v>
      </c>
      <c r="I18" s="76" t="s">
        <v>28</v>
      </c>
      <c r="J18" s="79" t="s">
        <v>395</v>
      </c>
      <c r="K18" s="87"/>
      <c r="L18" s="87"/>
      <c r="M18" s="88"/>
      <c r="N18" s="11"/>
      <c r="O18" s="11"/>
      <c r="P18" s="11"/>
      <c r="Q18" s="11"/>
      <c r="R18" s="11"/>
      <c r="S18" s="11"/>
      <c r="T18" s="11"/>
      <c r="U18" s="11"/>
      <c r="V18" s="11"/>
      <c r="W18" s="11"/>
      <c r="X18" s="11"/>
      <c r="Y18" s="11"/>
      <c r="Z18" s="11"/>
      <c r="AA18" s="11"/>
    </row>
    <row r="19" ht="154.5" customHeight="1">
      <c r="A19" s="76" t="s">
        <v>396</v>
      </c>
      <c r="B19" s="77" t="s">
        <v>397</v>
      </c>
      <c r="C19" s="79" t="s">
        <v>398</v>
      </c>
      <c r="D19" s="81" t="s">
        <v>399</v>
      </c>
      <c r="E19" s="23"/>
      <c r="F19" s="23"/>
      <c r="G19" s="85" t="s">
        <v>400</v>
      </c>
      <c r="H19" s="86">
        <v>46232.0</v>
      </c>
      <c r="I19" s="76" t="s">
        <v>28</v>
      </c>
      <c r="J19" s="79" t="s">
        <v>401</v>
      </c>
      <c r="K19" s="86">
        <v>46233.0</v>
      </c>
      <c r="L19" s="76" t="s">
        <v>26</v>
      </c>
      <c r="M19" s="125" t="s">
        <v>402</v>
      </c>
      <c r="N19" s="11"/>
      <c r="O19" s="11"/>
      <c r="P19" s="11"/>
      <c r="Q19" s="11"/>
      <c r="R19" s="11"/>
      <c r="S19" s="11"/>
      <c r="T19" s="11"/>
      <c r="U19" s="11"/>
      <c r="V19" s="11"/>
      <c r="W19" s="11"/>
      <c r="X19" s="11"/>
      <c r="Y19" s="11"/>
      <c r="Z19" s="11"/>
      <c r="AA19" s="11"/>
    </row>
    <row r="20" ht="128.25" customHeight="1">
      <c r="A20" s="76" t="s">
        <v>403</v>
      </c>
      <c r="B20" s="77" t="s">
        <v>404</v>
      </c>
      <c r="C20" s="79" t="s">
        <v>405</v>
      </c>
      <c r="D20" s="81" t="s">
        <v>406</v>
      </c>
      <c r="E20" s="23"/>
      <c r="F20" s="23"/>
      <c r="G20" s="85" t="s">
        <v>408</v>
      </c>
      <c r="H20" s="86">
        <v>46232.0</v>
      </c>
      <c r="I20" s="76" t="s">
        <v>26</v>
      </c>
      <c r="J20" s="79" t="s">
        <v>410</v>
      </c>
      <c r="K20" s="87"/>
      <c r="L20" s="87"/>
      <c r="M20" s="88"/>
      <c r="N20" s="11"/>
      <c r="O20" s="11"/>
      <c r="P20" s="11"/>
      <c r="Q20" s="11"/>
      <c r="R20" s="11"/>
      <c r="S20" s="11"/>
      <c r="T20" s="11"/>
      <c r="U20" s="11"/>
      <c r="V20" s="11"/>
      <c r="W20" s="11"/>
      <c r="X20" s="11"/>
      <c r="Y20" s="11"/>
      <c r="Z20" s="11"/>
      <c r="AA20" s="11"/>
    </row>
    <row r="21" ht="126.0" customHeight="1">
      <c r="A21" s="76" t="s">
        <v>411</v>
      </c>
      <c r="B21" s="77" t="s">
        <v>412</v>
      </c>
      <c r="C21" s="79" t="s">
        <v>413</v>
      </c>
      <c r="D21" s="81" t="s">
        <v>414</v>
      </c>
      <c r="E21" s="23"/>
      <c r="F21" s="23"/>
      <c r="G21" s="85" t="s">
        <v>415</v>
      </c>
      <c r="H21" s="86">
        <v>46232.0</v>
      </c>
      <c r="I21" s="76" t="s">
        <v>28</v>
      </c>
      <c r="J21" s="79" t="s">
        <v>416</v>
      </c>
      <c r="K21" s="86">
        <v>46233.0</v>
      </c>
      <c r="L21" s="76" t="s">
        <v>26</v>
      </c>
      <c r="M21" s="125" t="s">
        <v>417</v>
      </c>
      <c r="N21" s="11"/>
      <c r="O21" s="11"/>
      <c r="P21" s="11"/>
      <c r="Q21" s="11"/>
      <c r="R21" s="11"/>
      <c r="S21" s="11"/>
      <c r="T21" s="11"/>
      <c r="U21" s="11"/>
      <c r="V21" s="11"/>
      <c r="W21" s="11"/>
      <c r="X21" s="11"/>
      <c r="Y21" s="11"/>
      <c r="Z21" s="11"/>
      <c r="AA21" s="11"/>
    </row>
    <row r="22" ht="111.75" customHeight="1">
      <c r="A22" s="76" t="s">
        <v>418</v>
      </c>
      <c r="B22" s="77" t="s">
        <v>419</v>
      </c>
      <c r="C22" s="79" t="s">
        <v>420</v>
      </c>
      <c r="D22" s="81" t="s">
        <v>421</v>
      </c>
      <c r="E22" s="23"/>
      <c r="F22" s="23"/>
      <c r="G22" s="85" t="s">
        <v>422</v>
      </c>
      <c r="H22" s="86">
        <v>46232.0</v>
      </c>
      <c r="I22" s="76" t="s">
        <v>28</v>
      </c>
      <c r="J22" s="79" t="s">
        <v>424</v>
      </c>
      <c r="K22" s="86">
        <v>46233.0</v>
      </c>
      <c r="L22" s="76" t="s">
        <v>26</v>
      </c>
      <c r="M22" s="125" t="s">
        <v>425</v>
      </c>
    </row>
    <row r="23">
      <c r="A23" s="74" t="s">
        <v>431</v>
      </c>
      <c r="B23" s="23"/>
      <c r="C23" s="23"/>
      <c r="D23" s="23"/>
      <c r="E23" s="23"/>
      <c r="F23" s="23"/>
      <c r="G23" s="23"/>
      <c r="H23" s="23"/>
      <c r="I23" s="23"/>
      <c r="J23" s="23"/>
      <c r="K23" s="23"/>
      <c r="L23" s="23"/>
      <c r="M23" s="25"/>
      <c r="N23" s="11"/>
      <c r="O23" s="11"/>
      <c r="P23" s="11"/>
      <c r="Q23" s="11"/>
      <c r="R23" s="11"/>
      <c r="S23" s="11"/>
      <c r="T23" s="11"/>
      <c r="U23" s="11"/>
      <c r="V23" s="11"/>
      <c r="W23" s="11"/>
      <c r="X23" s="11"/>
      <c r="Y23" s="11"/>
      <c r="Z23" s="11"/>
      <c r="AA23" s="11"/>
    </row>
    <row r="24" ht="126.75" customHeight="1">
      <c r="A24" s="76" t="s">
        <v>432</v>
      </c>
      <c r="B24" s="77" t="s">
        <v>433</v>
      </c>
      <c r="C24" s="79" t="s">
        <v>434</v>
      </c>
      <c r="D24" s="81" t="s">
        <v>436</v>
      </c>
      <c r="E24" s="23"/>
      <c r="F24" s="23"/>
      <c r="G24" s="85" t="s">
        <v>437</v>
      </c>
      <c r="H24" s="86">
        <v>46232.0</v>
      </c>
      <c r="I24" s="76" t="s">
        <v>26</v>
      </c>
      <c r="J24" s="79" t="s">
        <v>443</v>
      </c>
      <c r="K24" s="86"/>
      <c r="L24" s="76"/>
      <c r="M24" s="126"/>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27"/>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28"/>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27"/>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sheetData>
  <mergeCells count="29">
    <mergeCell ref="B1:D2"/>
    <mergeCell ref="B3:D3"/>
    <mergeCell ref="B4:D4"/>
    <mergeCell ref="B5:D5"/>
    <mergeCell ref="A9:A10"/>
    <mergeCell ref="B9:B10"/>
    <mergeCell ref="C9:C10"/>
    <mergeCell ref="D9:F10"/>
    <mergeCell ref="G9:G10"/>
    <mergeCell ref="H9:H10"/>
    <mergeCell ref="I9:I10"/>
    <mergeCell ref="J9:J10"/>
    <mergeCell ref="K9:K10"/>
    <mergeCell ref="L9:L10"/>
    <mergeCell ref="D16:F16"/>
    <mergeCell ref="D18:F18"/>
    <mergeCell ref="D19:F19"/>
    <mergeCell ref="D20:F20"/>
    <mergeCell ref="D21:F21"/>
    <mergeCell ref="D22:F22"/>
    <mergeCell ref="D24:F24"/>
    <mergeCell ref="M9:M10"/>
    <mergeCell ref="F11:M11"/>
    <mergeCell ref="A12:M12"/>
    <mergeCell ref="D13:F13"/>
    <mergeCell ref="A14:M14"/>
    <mergeCell ref="D15:F15"/>
    <mergeCell ref="A17:M17"/>
    <mergeCell ref="A23:M23"/>
  </mergeCells>
  <hyperlinks>
    <hyperlink r:id="rId1" ref="G13"/>
    <hyperlink r:id="rId2" ref="G15"/>
    <hyperlink r:id="rId3" ref="G16"/>
    <hyperlink r:id="rId4" ref="G18"/>
    <hyperlink r:id="rId5" ref="G19"/>
    <hyperlink r:id="rId6" ref="M19"/>
    <hyperlink r:id="rId7" ref="G20"/>
    <hyperlink r:id="rId8" ref="G21"/>
    <hyperlink r:id="rId9" ref="M21"/>
    <hyperlink r:id="rId10" ref="G22"/>
    <hyperlink r:id="rId11" ref="M22"/>
    <hyperlink r:id="rId12" ref="G24"/>
  </hyperlinks>
  <drawing r:id="rId1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50.88"/>
    <col customWidth="1" min="6" max="6" width="19.0"/>
    <col customWidth="1" min="7" max="7" width="22.63"/>
    <col customWidth="1" min="8" max="8" width="20.13"/>
    <col customWidth="1" min="9" max="9" width="15.5"/>
    <col customWidth="1" min="10" max="10" width="21.38"/>
    <col customWidth="1" min="11" max="12" width="19.88"/>
    <col customWidth="1" min="13" max="13" width="25.63"/>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8" t="s">
        <v>407</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409</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7.0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2.0</v>
      </c>
      <c r="C7" s="48" t="s">
        <v>34</v>
      </c>
      <c r="D7" s="45">
        <v>9.0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61" t="s">
        <v>45</v>
      </c>
      <c r="L9" s="59" t="s">
        <v>47</v>
      </c>
      <c r="M9" s="59" t="s">
        <v>48</v>
      </c>
      <c r="N9" s="11"/>
      <c r="O9" s="11"/>
      <c r="P9" s="11"/>
      <c r="Q9" s="11"/>
      <c r="R9" s="11"/>
      <c r="S9" s="11"/>
      <c r="T9" s="11"/>
      <c r="U9" s="11"/>
      <c r="V9" s="11"/>
      <c r="W9" s="11"/>
      <c r="X9" s="11"/>
      <c r="Y9" s="11"/>
      <c r="Z9" s="11"/>
      <c r="AA9" s="11"/>
    </row>
    <row r="10">
      <c r="A10" s="63"/>
      <c r="B10" s="63"/>
      <c r="C10" s="63"/>
      <c r="D10" s="65"/>
      <c r="E10" s="14"/>
      <c r="F10" s="14"/>
      <c r="G10" s="63"/>
      <c r="H10" s="63"/>
      <c r="I10" s="63"/>
      <c r="J10" s="63"/>
      <c r="K10" s="63"/>
      <c r="L10" s="63"/>
      <c r="M10" s="63"/>
      <c r="N10" s="11"/>
      <c r="O10" s="11"/>
      <c r="P10" s="11"/>
      <c r="Q10" s="11"/>
      <c r="R10" s="11"/>
      <c r="S10" s="11"/>
      <c r="T10" s="11"/>
      <c r="U10" s="11"/>
      <c r="V10" s="11"/>
      <c r="W10" s="11"/>
      <c r="X10" s="11"/>
      <c r="Y10" s="11"/>
      <c r="Z10" s="11"/>
      <c r="AA10" s="11"/>
    </row>
    <row r="11">
      <c r="A11" s="69"/>
      <c r="B11" s="52"/>
      <c r="C11" s="23"/>
      <c r="D11" s="23"/>
      <c r="E11" s="23"/>
      <c r="F11" s="23"/>
      <c r="G11" s="23"/>
      <c r="H11" s="23"/>
      <c r="I11" s="23"/>
      <c r="J11" s="23"/>
      <c r="K11" s="23"/>
      <c r="L11" s="23"/>
      <c r="M11" s="23"/>
      <c r="N11" s="11"/>
      <c r="O11" s="11"/>
      <c r="P11" s="11"/>
      <c r="Q11" s="11"/>
      <c r="R11" s="11"/>
      <c r="S11" s="11"/>
      <c r="T11" s="11"/>
      <c r="U11" s="11"/>
      <c r="V11" s="11"/>
      <c r="W11" s="11"/>
      <c r="X11" s="11"/>
      <c r="Y11" s="11"/>
      <c r="Z11" s="11"/>
      <c r="AA11" s="11"/>
    </row>
    <row r="12">
      <c r="A12" s="74" t="s">
        <v>423</v>
      </c>
      <c r="B12" s="23"/>
      <c r="C12" s="23"/>
      <c r="D12" s="23"/>
      <c r="E12" s="23"/>
      <c r="F12" s="23"/>
      <c r="G12" s="23"/>
      <c r="H12" s="23"/>
      <c r="I12" s="23"/>
      <c r="J12" s="23"/>
      <c r="K12" s="23"/>
      <c r="L12" s="23"/>
      <c r="M12" s="25"/>
      <c r="N12" s="11"/>
      <c r="O12" s="11"/>
      <c r="P12" s="11"/>
      <c r="Q12" s="11"/>
      <c r="R12" s="11"/>
      <c r="S12" s="11"/>
      <c r="T12" s="11"/>
      <c r="U12" s="11"/>
      <c r="V12" s="11"/>
      <c r="W12" s="11"/>
      <c r="X12" s="11"/>
      <c r="Y12" s="11"/>
      <c r="Z12" s="11"/>
      <c r="AA12" s="11"/>
    </row>
    <row r="13" ht="196.5" customHeight="1">
      <c r="A13" s="76" t="s">
        <v>426</v>
      </c>
      <c r="B13" s="77" t="s">
        <v>427</v>
      </c>
      <c r="C13" s="79" t="s">
        <v>428</v>
      </c>
      <c r="D13" s="81" t="s">
        <v>429</v>
      </c>
      <c r="E13" s="23"/>
      <c r="F13" s="23"/>
      <c r="G13" s="85" t="s">
        <v>430</v>
      </c>
      <c r="H13" s="86">
        <v>46233.0</v>
      </c>
      <c r="I13" s="76" t="s">
        <v>26</v>
      </c>
      <c r="J13" s="79" t="s">
        <v>435</v>
      </c>
      <c r="K13" s="87"/>
      <c r="L13" s="11"/>
      <c r="M13" s="88"/>
      <c r="N13" s="11"/>
      <c r="O13" s="11"/>
      <c r="P13" s="11"/>
      <c r="Q13" s="11"/>
      <c r="R13" s="11"/>
      <c r="S13" s="11"/>
      <c r="T13" s="11"/>
      <c r="U13" s="11"/>
      <c r="V13" s="11"/>
      <c r="W13" s="11"/>
      <c r="X13" s="11"/>
      <c r="Y13" s="11"/>
      <c r="Z13" s="11"/>
      <c r="AA13" s="11"/>
    </row>
    <row r="14" ht="159.0" customHeight="1">
      <c r="A14" s="76" t="s">
        <v>438</v>
      </c>
      <c r="B14" s="77" t="s">
        <v>439</v>
      </c>
      <c r="C14" s="79" t="s">
        <v>440</v>
      </c>
      <c r="D14" s="81" t="s">
        <v>441</v>
      </c>
      <c r="E14" s="23"/>
      <c r="F14" s="23"/>
      <c r="G14" s="85" t="s">
        <v>442</v>
      </c>
      <c r="H14" s="86">
        <v>46233.0</v>
      </c>
      <c r="I14" s="76" t="s">
        <v>26</v>
      </c>
      <c r="J14" s="79" t="s">
        <v>444</v>
      </c>
      <c r="K14" s="87"/>
      <c r="L14" s="87"/>
      <c r="M14" s="88"/>
      <c r="N14" s="11"/>
      <c r="O14" s="11"/>
      <c r="P14" s="11"/>
      <c r="Q14" s="11"/>
      <c r="R14" s="11"/>
      <c r="S14" s="11"/>
      <c r="T14" s="11"/>
      <c r="U14" s="11"/>
      <c r="V14" s="11"/>
      <c r="W14" s="11"/>
      <c r="X14" s="11"/>
      <c r="Y14" s="11"/>
      <c r="Z14" s="11"/>
      <c r="AA14" s="11"/>
    </row>
    <row r="15" ht="138.75" customHeight="1">
      <c r="A15" s="76" t="s">
        <v>445</v>
      </c>
      <c r="B15" s="77" t="s">
        <v>446</v>
      </c>
      <c r="C15" s="79" t="s">
        <v>447</v>
      </c>
      <c r="D15" s="81" t="s">
        <v>448</v>
      </c>
      <c r="E15" s="23"/>
      <c r="F15" s="23"/>
      <c r="G15" s="85" t="s">
        <v>449</v>
      </c>
      <c r="H15" s="86">
        <v>46233.0</v>
      </c>
      <c r="I15" s="76" t="s">
        <v>26</v>
      </c>
      <c r="J15" s="79" t="s">
        <v>450</v>
      </c>
      <c r="K15" s="87"/>
      <c r="L15" s="87"/>
      <c r="M15" s="88"/>
      <c r="N15" s="11"/>
      <c r="O15" s="11"/>
      <c r="P15" s="11"/>
      <c r="Q15" s="11"/>
      <c r="R15" s="11"/>
      <c r="S15" s="11"/>
      <c r="T15" s="11"/>
      <c r="U15" s="11"/>
      <c r="V15" s="11"/>
      <c r="W15" s="11"/>
      <c r="X15" s="11"/>
      <c r="Y15" s="11"/>
      <c r="Z15" s="11"/>
      <c r="AA15" s="11"/>
    </row>
    <row r="16" ht="210.75" customHeight="1">
      <c r="A16" s="76" t="s">
        <v>451</v>
      </c>
      <c r="B16" s="77" t="s">
        <v>452</v>
      </c>
      <c r="C16" s="79" t="s">
        <v>453</v>
      </c>
      <c r="D16" s="81" t="s">
        <v>454</v>
      </c>
      <c r="E16" s="23"/>
      <c r="F16" s="23"/>
      <c r="G16" s="85" t="s">
        <v>455</v>
      </c>
      <c r="H16" s="86">
        <v>46233.0</v>
      </c>
      <c r="I16" s="76" t="s">
        <v>26</v>
      </c>
      <c r="J16" s="79" t="s">
        <v>456</v>
      </c>
      <c r="K16" s="87"/>
      <c r="L16" s="87"/>
      <c r="M16" s="88"/>
      <c r="N16" s="11"/>
      <c r="O16" s="11"/>
      <c r="P16" s="11"/>
      <c r="Q16" s="11"/>
      <c r="R16" s="11"/>
      <c r="S16" s="11"/>
      <c r="T16" s="11"/>
      <c r="U16" s="11"/>
      <c r="V16" s="11"/>
      <c r="W16" s="11"/>
      <c r="X16" s="11"/>
      <c r="Y16" s="11"/>
      <c r="Z16" s="11"/>
      <c r="AA16" s="11"/>
    </row>
    <row r="17">
      <c r="A17" s="74" t="s">
        <v>457</v>
      </c>
      <c r="B17" s="23"/>
      <c r="C17" s="23"/>
      <c r="D17" s="23"/>
      <c r="E17" s="23"/>
      <c r="F17" s="23"/>
      <c r="G17" s="23"/>
      <c r="H17" s="23"/>
      <c r="I17" s="23"/>
      <c r="J17" s="23"/>
      <c r="K17" s="23"/>
      <c r="L17" s="23"/>
      <c r="M17" s="25"/>
      <c r="N17" s="11"/>
      <c r="O17" s="11"/>
      <c r="P17" s="11"/>
      <c r="Q17" s="11"/>
      <c r="R17" s="11"/>
      <c r="S17" s="11"/>
      <c r="T17" s="11"/>
      <c r="U17" s="11"/>
      <c r="V17" s="11"/>
      <c r="W17" s="11"/>
      <c r="X17" s="11"/>
      <c r="Y17" s="11"/>
      <c r="Z17" s="11"/>
      <c r="AA17" s="11"/>
    </row>
    <row r="18" ht="157.5" customHeight="1">
      <c r="A18" s="76" t="s">
        <v>458</v>
      </c>
      <c r="B18" s="77" t="s">
        <v>459</v>
      </c>
      <c r="C18" s="79" t="s">
        <v>460</v>
      </c>
      <c r="D18" s="81" t="s">
        <v>461</v>
      </c>
      <c r="E18" s="23"/>
      <c r="F18" s="23"/>
      <c r="G18" s="85" t="s">
        <v>462</v>
      </c>
      <c r="H18" s="86">
        <v>46233.0</v>
      </c>
      <c r="I18" s="76" t="s">
        <v>26</v>
      </c>
      <c r="J18" s="79" t="s">
        <v>463</v>
      </c>
      <c r="K18" s="86"/>
      <c r="L18" s="76"/>
      <c r="M18" s="126"/>
      <c r="N18" s="11"/>
      <c r="O18" s="11"/>
      <c r="P18" s="11"/>
      <c r="Q18" s="11"/>
      <c r="R18" s="11"/>
      <c r="S18" s="11"/>
      <c r="T18" s="11"/>
      <c r="U18" s="11"/>
      <c r="V18" s="11"/>
      <c r="W18" s="11"/>
      <c r="X18" s="11"/>
      <c r="Y18" s="11"/>
      <c r="Z18" s="11"/>
      <c r="AA18" s="11"/>
    </row>
    <row r="19">
      <c r="A19" s="74" t="s">
        <v>464</v>
      </c>
      <c r="B19" s="23"/>
      <c r="C19" s="23"/>
      <c r="D19" s="23"/>
      <c r="E19" s="23"/>
      <c r="F19" s="23"/>
      <c r="G19" s="23"/>
      <c r="H19" s="23"/>
      <c r="I19" s="23"/>
      <c r="J19" s="23"/>
      <c r="K19" s="23"/>
      <c r="L19" s="23"/>
      <c r="M19" s="25"/>
      <c r="N19" s="11"/>
      <c r="O19" s="11"/>
      <c r="P19" s="11"/>
      <c r="Q19" s="11"/>
      <c r="R19" s="11"/>
      <c r="S19" s="11"/>
      <c r="T19" s="11"/>
      <c r="U19" s="11"/>
      <c r="V19" s="11"/>
      <c r="W19" s="11"/>
      <c r="X19" s="11"/>
      <c r="Y19" s="11"/>
      <c r="Z19" s="11"/>
      <c r="AA19" s="11"/>
    </row>
    <row r="20" ht="186.75" customHeight="1">
      <c r="A20" s="76" t="s">
        <v>465</v>
      </c>
      <c r="B20" s="77" t="s">
        <v>466</v>
      </c>
      <c r="C20" s="79" t="s">
        <v>467</v>
      </c>
      <c r="D20" s="81" t="s">
        <v>468</v>
      </c>
      <c r="E20" s="23"/>
      <c r="F20" s="23"/>
      <c r="G20" s="129" t="s">
        <v>469</v>
      </c>
      <c r="H20" s="86">
        <v>46233.0</v>
      </c>
      <c r="I20" s="76" t="s">
        <v>26</v>
      </c>
      <c r="J20" s="79" t="s">
        <v>470</v>
      </c>
      <c r="K20" s="87"/>
      <c r="L20" s="87"/>
      <c r="M20" s="88"/>
      <c r="N20" s="11"/>
      <c r="O20" s="11"/>
      <c r="P20" s="11"/>
      <c r="Q20" s="11"/>
      <c r="R20" s="11"/>
      <c r="S20" s="11"/>
      <c r="T20" s="11"/>
      <c r="U20" s="11"/>
      <c r="V20" s="11"/>
      <c r="W20" s="11"/>
      <c r="X20" s="11"/>
      <c r="Y20" s="11"/>
      <c r="Z20" s="11"/>
      <c r="AA20" s="11"/>
    </row>
    <row r="21" ht="156.0" customHeight="1">
      <c r="A21" s="76" t="s">
        <v>471</v>
      </c>
      <c r="B21" s="77" t="s">
        <v>472</v>
      </c>
      <c r="C21" s="79" t="s">
        <v>473</v>
      </c>
      <c r="D21" s="81" t="s">
        <v>474</v>
      </c>
      <c r="E21" s="23"/>
      <c r="F21" s="23"/>
      <c r="G21" s="85" t="s">
        <v>475</v>
      </c>
      <c r="H21" s="86">
        <v>46233.0</v>
      </c>
      <c r="I21" s="76" t="s">
        <v>28</v>
      </c>
      <c r="J21" s="79" t="s">
        <v>476</v>
      </c>
      <c r="K21" s="86">
        <v>46234.0</v>
      </c>
      <c r="L21" s="76" t="s">
        <v>26</v>
      </c>
      <c r="M21" s="125" t="s">
        <v>477</v>
      </c>
      <c r="N21" s="11"/>
      <c r="O21" s="11"/>
      <c r="P21" s="11"/>
      <c r="Q21" s="11"/>
      <c r="R21" s="11"/>
      <c r="S21" s="11"/>
      <c r="T21" s="11"/>
      <c r="U21" s="11"/>
      <c r="V21" s="11"/>
      <c r="W21" s="11"/>
      <c r="X21" s="11"/>
      <c r="Y21" s="11"/>
      <c r="Z21" s="11"/>
      <c r="AA21" s="11"/>
    </row>
    <row r="22" ht="165.75" customHeight="1">
      <c r="A22" s="76" t="s">
        <v>478</v>
      </c>
      <c r="B22" s="77" t="s">
        <v>479</v>
      </c>
      <c r="C22" s="79" t="s">
        <v>480</v>
      </c>
      <c r="D22" s="81" t="s">
        <v>481</v>
      </c>
      <c r="E22" s="23"/>
      <c r="F22" s="23"/>
      <c r="G22" s="85" t="s">
        <v>482</v>
      </c>
      <c r="H22" s="86">
        <v>46233.0</v>
      </c>
      <c r="I22" s="76" t="s">
        <v>28</v>
      </c>
      <c r="J22" s="79" t="s">
        <v>483</v>
      </c>
      <c r="K22" s="86">
        <v>46234.0</v>
      </c>
      <c r="L22" s="76" t="s">
        <v>26</v>
      </c>
      <c r="M22" s="125" t="s">
        <v>484</v>
      </c>
      <c r="N22" s="11"/>
      <c r="O22" s="11"/>
      <c r="P22" s="11"/>
      <c r="Q22" s="11"/>
      <c r="R22" s="11"/>
      <c r="S22" s="11"/>
      <c r="T22" s="11"/>
      <c r="U22" s="11"/>
      <c r="V22" s="11"/>
      <c r="W22" s="11"/>
      <c r="X22" s="11"/>
      <c r="Y22" s="11"/>
      <c r="Z22" s="11"/>
      <c r="AA22" s="11"/>
    </row>
    <row r="23" ht="168.75" customHeight="1">
      <c r="A23" s="76" t="s">
        <v>485</v>
      </c>
      <c r="B23" s="77" t="s">
        <v>486</v>
      </c>
      <c r="C23" s="79" t="s">
        <v>487</v>
      </c>
      <c r="D23" s="81" t="s">
        <v>488</v>
      </c>
      <c r="E23" s="23"/>
      <c r="F23" s="23"/>
      <c r="G23" s="85" t="s">
        <v>489</v>
      </c>
      <c r="H23" s="86">
        <v>46233.0</v>
      </c>
      <c r="I23" s="76" t="s">
        <v>26</v>
      </c>
      <c r="J23" s="79" t="s">
        <v>490</v>
      </c>
      <c r="K23" s="86"/>
      <c r="L23" s="76"/>
      <c r="M23" s="126"/>
      <c r="N23" s="11"/>
      <c r="O23" s="11"/>
      <c r="P23" s="11"/>
      <c r="Q23" s="11"/>
      <c r="R23" s="11"/>
      <c r="S23" s="11"/>
      <c r="T23" s="11"/>
      <c r="U23" s="11"/>
      <c r="V23" s="11"/>
      <c r="W23" s="11"/>
      <c r="X23" s="11"/>
      <c r="Y23" s="11"/>
      <c r="Z23" s="11"/>
      <c r="AA23" s="11"/>
    </row>
    <row r="24" ht="126.0" customHeight="1">
      <c r="A24" s="130"/>
      <c r="B24" s="131"/>
      <c r="C24" s="127"/>
      <c r="D24" s="127"/>
      <c r="E24" s="127"/>
      <c r="F24" s="127"/>
      <c r="G24" s="127"/>
      <c r="H24" s="132"/>
      <c r="I24" s="130"/>
      <c r="J24" s="127"/>
      <c r="K24" s="132"/>
      <c r="L24" s="130"/>
      <c r="M24" s="133"/>
      <c r="N24" s="11"/>
      <c r="O24" s="11"/>
      <c r="P24" s="11"/>
      <c r="Q24" s="11"/>
      <c r="R24" s="11"/>
      <c r="S24" s="11"/>
      <c r="T24" s="11"/>
      <c r="U24" s="11"/>
      <c r="V24" s="11"/>
      <c r="W24" s="11"/>
      <c r="X24" s="11"/>
      <c r="Y24" s="11"/>
      <c r="Z24" s="11"/>
      <c r="AA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27"/>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28"/>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27"/>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sheetData>
  <mergeCells count="28">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20:F20"/>
    <mergeCell ref="D21:F21"/>
    <mergeCell ref="D22:F22"/>
    <mergeCell ref="D23:F23"/>
    <mergeCell ref="D9:F10"/>
    <mergeCell ref="B11:M11"/>
    <mergeCell ref="A12:M12"/>
    <mergeCell ref="D13:F13"/>
    <mergeCell ref="D14:F14"/>
    <mergeCell ref="D15:F15"/>
    <mergeCell ref="A17:M17"/>
    <mergeCell ref="A19:M19"/>
  </mergeCells>
  <hyperlinks>
    <hyperlink r:id="rId1" ref="G13"/>
    <hyperlink r:id="rId2" ref="G14"/>
    <hyperlink r:id="rId3" ref="G15"/>
    <hyperlink r:id="rId4" ref="G16"/>
    <hyperlink r:id="rId5" ref="G18"/>
    <hyperlink r:id="rId6" ref="G20"/>
    <hyperlink r:id="rId7" ref="G21"/>
    <hyperlink r:id="rId8" ref="M21"/>
    <hyperlink r:id="rId9" ref="G22"/>
    <hyperlink r:id="rId10" ref="M22"/>
    <hyperlink r:id="rId11" ref="G23"/>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63"/>
    <col customWidth="1" min="2" max="2" width="22.13"/>
    <col customWidth="1" min="3" max="3" width="46.75"/>
    <col customWidth="1" min="6" max="6" width="19.0"/>
    <col customWidth="1" min="7" max="7" width="22.63"/>
    <col customWidth="1" min="8" max="8" width="20.13"/>
    <col customWidth="1" min="9" max="9" width="15.5"/>
    <col customWidth="1" min="10" max="10" width="21.38"/>
    <col customWidth="1" min="11" max="12" width="19.88"/>
    <col customWidth="1" min="13" max="13" width="24.63"/>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8" t="s">
        <v>491</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492</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13.0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7.0</v>
      </c>
      <c r="C7" s="48" t="s">
        <v>34</v>
      </c>
      <c r="D7" s="45">
        <v>20.0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61" t="s">
        <v>45</v>
      </c>
      <c r="L9" s="59" t="s">
        <v>47</v>
      </c>
      <c r="M9" s="59" t="s">
        <v>48</v>
      </c>
      <c r="N9" s="11"/>
      <c r="O9" s="11"/>
      <c r="P9" s="11"/>
      <c r="Q9" s="11"/>
      <c r="R9" s="11"/>
      <c r="S9" s="11"/>
      <c r="T9" s="11"/>
      <c r="U9" s="11"/>
      <c r="V9" s="11"/>
      <c r="W9" s="11"/>
      <c r="X9" s="11"/>
      <c r="Y9" s="11"/>
      <c r="Z9" s="11"/>
      <c r="AA9" s="11"/>
    </row>
    <row r="10">
      <c r="A10" s="63"/>
      <c r="B10" s="63"/>
      <c r="C10" s="63"/>
      <c r="D10" s="65"/>
      <c r="E10" s="14"/>
      <c r="F10" s="14"/>
      <c r="G10" s="63"/>
      <c r="H10" s="63"/>
      <c r="I10" s="63"/>
      <c r="J10" s="63"/>
      <c r="K10" s="63"/>
      <c r="L10" s="63"/>
      <c r="M10" s="63"/>
      <c r="N10" s="11"/>
      <c r="O10" s="11"/>
      <c r="P10" s="11"/>
      <c r="Q10" s="11"/>
      <c r="R10" s="11"/>
      <c r="S10" s="11"/>
      <c r="T10" s="11"/>
      <c r="U10" s="11"/>
      <c r="V10" s="11"/>
      <c r="W10" s="11"/>
      <c r="X10" s="11"/>
      <c r="Y10" s="11"/>
      <c r="Z10" s="11"/>
      <c r="AA10" s="11"/>
    </row>
    <row r="11">
      <c r="A11" s="69"/>
      <c r="B11" s="52"/>
      <c r="C11" s="23"/>
      <c r="D11" s="23"/>
      <c r="E11" s="23"/>
      <c r="F11" s="23"/>
      <c r="G11" s="23"/>
      <c r="H11" s="23"/>
      <c r="I11" s="23"/>
      <c r="J11" s="23"/>
      <c r="K11" s="23"/>
      <c r="L11" s="23"/>
      <c r="M11" s="23"/>
      <c r="N11" s="11"/>
      <c r="O11" s="11"/>
      <c r="P11" s="11"/>
      <c r="Q11" s="11"/>
      <c r="R11" s="11"/>
      <c r="S11" s="11"/>
      <c r="T11" s="11"/>
      <c r="U11" s="11"/>
      <c r="V11" s="11"/>
      <c r="W11" s="11"/>
      <c r="X11" s="11"/>
      <c r="Y11" s="11"/>
      <c r="Z11" s="11"/>
      <c r="AA11" s="11"/>
    </row>
    <row r="12">
      <c r="A12" s="74" t="s">
        <v>493</v>
      </c>
      <c r="B12" s="23"/>
      <c r="C12" s="23"/>
      <c r="D12" s="23"/>
      <c r="E12" s="23"/>
      <c r="F12" s="23"/>
      <c r="G12" s="23"/>
      <c r="H12" s="23"/>
      <c r="I12" s="23"/>
      <c r="J12" s="23"/>
      <c r="K12" s="23"/>
      <c r="L12" s="23"/>
      <c r="M12" s="25"/>
      <c r="N12" s="11"/>
      <c r="O12" s="11"/>
      <c r="P12" s="11"/>
      <c r="Q12" s="11"/>
      <c r="R12" s="11"/>
      <c r="S12" s="11"/>
      <c r="T12" s="11"/>
      <c r="U12" s="11"/>
      <c r="V12" s="11"/>
      <c r="W12" s="11"/>
      <c r="X12" s="11"/>
      <c r="Y12" s="11"/>
      <c r="Z12" s="11"/>
      <c r="AA12" s="11"/>
    </row>
    <row r="13" ht="123.0" customHeight="1">
      <c r="A13" s="76" t="s">
        <v>494</v>
      </c>
      <c r="B13" s="77" t="s">
        <v>495</v>
      </c>
      <c r="C13" s="79" t="s">
        <v>496</v>
      </c>
      <c r="D13" s="81" t="s">
        <v>497</v>
      </c>
      <c r="E13" s="23"/>
      <c r="F13" s="23"/>
      <c r="G13" s="85" t="s">
        <v>498</v>
      </c>
      <c r="H13" s="86">
        <v>46240.0</v>
      </c>
      <c r="I13" s="76" t="s">
        <v>26</v>
      </c>
      <c r="J13" s="79" t="s">
        <v>499</v>
      </c>
      <c r="K13" s="87"/>
      <c r="L13" s="87"/>
      <c r="M13" s="88"/>
      <c r="N13" s="11"/>
      <c r="O13" s="11"/>
      <c r="P13" s="11"/>
      <c r="Q13" s="11"/>
      <c r="R13" s="11"/>
      <c r="S13" s="11"/>
      <c r="T13" s="11"/>
      <c r="U13" s="11"/>
      <c r="V13" s="11"/>
      <c r="W13" s="11"/>
      <c r="X13" s="11"/>
      <c r="Y13" s="11"/>
      <c r="Z13" s="11"/>
      <c r="AA13" s="11"/>
    </row>
    <row r="14" ht="15.75" customHeight="1">
      <c r="A14" s="74" t="s">
        <v>500</v>
      </c>
      <c r="B14" s="23"/>
      <c r="C14" s="23"/>
      <c r="D14" s="23"/>
      <c r="E14" s="23"/>
      <c r="F14" s="23"/>
      <c r="G14" s="23"/>
      <c r="H14" s="23"/>
      <c r="I14" s="23"/>
      <c r="J14" s="23"/>
      <c r="K14" s="23"/>
      <c r="L14" s="23"/>
      <c r="M14" s="25"/>
      <c r="N14" s="11"/>
      <c r="O14" s="11"/>
      <c r="P14" s="11"/>
      <c r="Q14" s="11"/>
      <c r="R14" s="11"/>
      <c r="S14" s="11"/>
      <c r="T14" s="11"/>
      <c r="U14" s="11"/>
      <c r="V14" s="11"/>
      <c r="W14" s="11"/>
      <c r="X14" s="11"/>
      <c r="Y14" s="11"/>
      <c r="Z14" s="11"/>
      <c r="AA14" s="11"/>
    </row>
    <row r="15" ht="141.75" customHeight="1">
      <c r="A15" s="76" t="s">
        <v>501</v>
      </c>
      <c r="B15" s="77" t="s">
        <v>502</v>
      </c>
      <c r="C15" s="79" t="s">
        <v>503</v>
      </c>
      <c r="D15" s="81" t="s">
        <v>504</v>
      </c>
      <c r="E15" s="23"/>
      <c r="F15" s="23"/>
      <c r="G15" s="85" t="s">
        <v>505</v>
      </c>
      <c r="H15" s="86">
        <v>46240.0</v>
      </c>
      <c r="I15" s="76" t="s">
        <v>28</v>
      </c>
      <c r="J15" s="79" t="s">
        <v>506</v>
      </c>
      <c r="K15" s="86">
        <v>46240.0</v>
      </c>
      <c r="L15" s="76" t="s">
        <v>26</v>
      </c>
      <c r="M15" s="85" t="s">
        <v>507</v>
      </c>
      <c r="N15" s="11"/>
      <c r="O15" s="11"/>
      <c r="P15" s="11"/>
      <c r="Q15" s="11"/>
      <c r="R15" s="11"/>
      <c r="S15" s="11"/>
      <c r="T15" s="11"/>
      <c r="U15" s="11"/>
      <c r="V15" s="11"/>
      <c r="W15" s="11"/>
      <c r="X15" s="11"/>
      <c r="Y15" s="11"/>
      <c r="Z15" s="11"/>
      <c r="AA15" s="11"/>
    </row>
    <row r="16" ht="134.25" customHeight="1">
      <c r="A16" s="76" t="s">
        <v>508</v>
      </c>
      <c r="B16" s="77" t="s">
        <v>509</v>
      </c>
      <c r="C16" s="79" t="s">
        <v>510</v>
      </c>
      <c r="D16" s="81" t="s">
        <v>511</v>
      </c>
      <c r="E16" s="23"/>
      <c r="F16" s="23"/>
      <c r="G16" s="85" t="s">
        <v>512</v>
      </c>
      <c r="H16" s="86">
        <v>46240.0</v>
      </c>
      <c r="I16" s="76" t="s">
        <v>28</v>
      </c>
      <c r="J16" s="79" t="s">
        <v>506</v>
      </c>
      <c r="K16" s="86">
        <v>46240.0</v>
      </c>
      <c r="L16" s="76" t="s">
        <v>26</v>
      </c>
      <c r="M16" s="85" t="s">
        <v>513</v>
      </c>
      <c r="N16" s="11"/>
      <c r="O16" s="11"/>
      <c r="P16" s="11"/>
      <c r="Q16" s="11"/>
      <c r="R16" s="11"/>
      <c r="S16" s="11"/>
      <c r="T16" s="11"/>
      <c r="U16" s="11"/>
      <c r="V16" s="11"/>
      <c r="W16" s="11"/>
      <c r="X16" s="11"/>
      <c r="Y16" s="11"/>
      <c r="Z16" s="11"/>
      <c r="AA16" s="11"/>
    </row>
    <row r="17" ht="122.25" customHeight="1">
      <c r="A17" s="76" t="s">
        <v>514</v>
      </c>
      <c r="B17" s="77" t="s">
        <v>515</v>
      </c>
      <c r="C17" s="79" t="s">
        <v>516</v>
      </c>
      <c r="D17" s="81" t="s">
        <v>517</v>
      </c>
      <c r="E17" s="23"/>
      <c r="F17" s="23"/>
      <c r="G17" s="85" t="s">
        <v>518</v>
      </c>
      <c r="H17" s="86">
        <v>46240.0</v>
      </c>
      <c r="I17" s="76" t="s">
        <v>28</v>
      </c>
      <c r="J17" s="79" t="s">
        <v>506</v>
      </c>
      <c r="K17" s="86">
        <v>46240.0</v>
      </c>
      <c r="L17" s="76" t="s">
        <v>26</v>
      </c>
      <c r="M17" s="85" t="s">
        <v>519</v>
      </c>
      <c r="N17" s="11"/>
      <c r="O17" s="11"/>
      <c r="P17" s="11"/>
      <c r="Q17" s="11"/>
      <c r="R17" s="11"/>
      <c r="S17" s="11"/>
      <c r="T17" s="11"/>
      <c r="U17" s="11"/>
      <c r="V17" s="11"/>
      <c r="W17" s="11"/>
      <c r="X17" s="11"/>
      <c r="Y17" s="11"/>
      <c r="Z17" s="11"/>
      <c r="AA17" s="11"/>
    </row>
    <row r="18">
      <c r="A18" s="74" t="s">
        <v>521</v>
      </c>
      <c r="B18" s="23"/>
      <c r="C18" s="23"/>
      <c r="D18" s="23"/>
      <c r="E18" s="23"/>
      <c r="F18" s="23"/>
      <c r="G18" s="23"/>
      <c r="H18" s="23"/>
      <c r="I18" s="23"/>
      <c r="J18" s="23"/>
      <c r="K18" s="23"/>
      <c r="L18" s="23"/>
      <c r="M18" s="25"/>
      <c r="N18" s="11"/>
      <c r="O18" s="11"/>
      <c r="P18" s="11"/>
      <c r="Q18" s="11"/>
      <c r="R18" s="11"/>
      <c r="S18" s="11"/>
      <c r="T18" s="11"/>
      <c r="U18" s="11"/>
      <c r="V18" s="11"/>
      <c r="W18" s="11"/>
      <c r="X18" s="11"/>
      <c r="Y18" s="11"/>
      <c r="Z18" s="11"/>
      <c r="AA18" s="11"/>
    </row>
    <row r="19" ht="126.75" customHeight="1">
      <c r="A19" s="76" t="s">
        <v>523</v>
      </c>
      <c r="B19" s="77" t="s">
        <v>524</v>
      </c>
      <c r="C19" s="79" t="s">
        <v>525</v>
      </c>
      <c r="D19" s="81" t="s">
        <v>526</v>
      </c>
      <c r="E19" s="23"/>
      <c r="F19" s="23"/>
      <c r="G19" s="85" t="s">
        <v>527</v>
      </c>
      <c r="H19" s="86">
        <v>46240.0</v>
      </c>
      <c r="I19" s="76" t="s">
        <v>26</v>
      </c>
      <c r="J19" s="79" t="s">
        <v>528</v>
      </c>
      <c r="K19" s="86"/>
      <c r="L19" s="76"/>
      <c r="M19" s="79"/>
      <c r="N19" s="11"/>
      <c r="O19" s="11"/>
      <c r="P19" s="11"/>
      <c r="Q19" s="11"/>
      <c r="R19" s="11"/>
      <c r="S19" s="11"/>
      <c r="T19" s="11"/>
      <c r="U19" s="11"/>
      <c r="V19" s="11"/>
      <c r="W19" s="11"/>
      <c r="X19" s="11"/>
      <c r="Y19" s="11"/>
      <c r="Z19" s="11"/>
      <c r="AA19" s="11"/>
    </row>
    <row r="20" ht="126.75" customHeight="1">
      <c r="A20" s="76" t="s">
        <v>529</v>
      </c>
      <c r="B20" s="77" t="s">
        <v>530</v>
      </c>
      <c r="C20" s="79" t="s">
        <v>531</v>
      </c>
      <c r="D20" s="81" t="s">
        <v>532</v>
      </c>
      <c r="E20" s="23"/>
      <c r="F20" s="23"/>
      <c r="G20" s="85" t="s">
        <v>533</v>
      </c>
      <c r="H20" s="86">
        <v>46240.0</v>
      </c>
      <c r="I20" s="76" t="s">
        <v>26</v>
      </c>
      <c r="J20" s="79" t="s">
        <v>534</v>
      </c>
      <c r="K20" s="86"/>
      <c r="L20" s="76"/>
      <c r="M20" s="79"/>
      <c r="N20" s="11"/>
      <c r="O20" s="11"/>
      <c r="P20" s="11"/>
      <c r="Q20" s="11"/>
      <c r="R20" s="11"/>
      <c r="S20" s="11"/>
      <c r="T20" s="11"/>
      <c r="U20" s="11"/>
      <c r="V20" s="11"/>
      <c r="W20" s="11"/>
      <c r="X20" s="11"/>
      <c r="Y20" s="11"/>
      <c r="Z20" s="11"/>
      <c r="AA20" s="11"/>
    </row>
    <row r="21">
      <c r="A21" s="74" t="s">
        <v>535</v>
      </c>
      <c r="B21" s="23"/>
      <c r="C21" s="23"/>
      <c r="D21" s="23"/>
      <c r="E21" s="23"/>
      <c r="F21" s="23"/>
      <c r="G21" s="23"/>
      <c r="H21" s="23"/>
      <c r="I21" s="23"/>
      <c r="J21" s="23"/>
      <c r="K21" s="23"/>
      <c r="L21" s="23"/>
      <c r="M21" s="25"/>
      <c r="N21" s="135"/>
      <c r="AA21" s="11"/>
    </row>
    <row r="22" ht="128.25" customHeight="1">
      <c r="A22" s="76" t="s">
        <v>536</v>
      </c>
      <c r="B22" s="77" t="s">
        <v>537</v>
      </c>
      <c r="C22" s="79" t="s">
        <v>538</v>
      </c>
      <c r="D22" s="81" t="s">
        <v>539</v>
      </c>
      <c r="E22" s="23"/>
      <c r="F22" s="23"/>
      <c r="G22" s="129" t="s">
        <v>540</v>
      </c>
      <c r="H22" s="86">
        <v>46240.0</v>
      </c>
      <c r="I22" s="76" t="s">
        <v>28</v>
      </c>
      <c r="J22" s="79" t="s">
        <v>541</v>
      </c>
      <c r="K22" s="87"/>
      <c r="L22" s="87"/>
      <c r="M22" s="88"/>
      <c r="N22" s="11"/>
      <c r="O22" s="11"/>
      <c r="P22" s="11"/>
      <c r="Q22" s="11"/>
      <c r="R22" s="11"/>
      <c r="S22" s="11"/>
      <c r="T22" s="11"/>
      <c r="U22" s="11"/>
      <c r="V22" s="11"/>
      <c r="W22" s="11"/>
      <c r="X22" s="11"/>
      <c r="Y22" s="11"/>
      <c r="Z22" s="11"/>
      <c r="AA22" s="11"/>
    </row>
    <row r="23">
      <c r="A23" s="74" t="s">
        <v>543</v>
      </c>
      <c r="B23" s="23"/>
      <c r="C23" s="23"/>
      <c r="D23" s="23"/>
      <c r="E23" s="23"/>
      <c r="F23" s="23"/>
      <c r="G23" s="23"/>
      <c r="H23" s="23"/>
      <c r="I23" s="23"/>
      <c r="J23" s="23"/>
      <c r="K23" s="23"/>
      <c r="L23" s="23"/>
      <c r="M23" s="25"/>
      <c r="N23" s="137"/>
      <c r="AA23" s="11"/>
    </row>
    <row r="24" ht="139.5" customHeight="1">
      <c r="A24" s="76" t="s">
        <v>547</v>
      </c>
      <c r="B24" s="77" t="s">
        <v>549</v>
      </c>
      <c r="C24" s="79" t="s">
        <v>550</v>
      </c>
      <c r="D24" s="81" t="s">
        <v>551</v>
      </c>
      <c r="E24" s="23"/>
      <c r="F24" s="23"/>
      <c r="G24" s="85" t="s">
        <v>553</v>
      </c>
      <c r="H24" s="86">
        <v>46240.0</v>
      </c>
      <c r="I24" s="76" t="s">
        <v>28</v>
      </c>
      <c r="J24" s="79" t="s">
        <v>556</v>
      </c>
      <c r="K24" s="86">
        <v>46241.0</v>
      </c>
      <c r="L24" s="76" t="s">
        <v>26</v>
      </c>
      <c r="M24" s="85" t="s">
        <v>557</v>
      </c>
      <c r="N24" s="11"/>
      <c r="O24" s="11"/>
      <c r="P24" s="11"/>
      <c r="Q24" s="11"/>
      <c r="R24" s="11"/>
      <c r="S24" s="11"/>
      <c r="T24" s="11"/>
      <c r="U24" s="11"/>
      <c r="V24" s="11"/>
      <c r="W24" s="11"/>
      <c r="X24" s="11"/>
      <c r="Y24" s="11"/>
      <c r="Z24" s="11"/>
      <c r="AA24" s="11"/>
    </row>
    <row r="25" ht="152.25" customHeight="1">
      <c r="A25" s="76" t="s">
        <v>563</v>
      </c>
      <c r="B25" s="77" t="s">
        <v>564</v>
      </c>
      <c r="C25" s="79" t="s">
        <v>565</v>
      </c>
      <c r="D25" s="81" t="s">
        <v>566</v>
      </c>
      <c r="E25" s="23"/>
      <c r="F25" s="23"/>
      <c r="G25" s="138" t="s">
        <v>568</v>
      </c>
      <c r="H25" s="86">
        <v>46240.0</v>
      </c>
      <c r="I25" s="76" t="s">
        <v>26</v>
      </c>
      <c r="J25" s="79" t="s">
        <v>574</v>
      </c>
      <c r="K25" s="86"/>
      <c r="L25" s="76"/>
      <c r="M25" s="126"/>
      <c r="N25" s="11"/>
      <c r="O25" s="11"/>
      <c r="P25" s="11"/>
      <c r="Q25" s="11"/>
      <c r="R25" s="11"/>
      <c r="S25" s="11"/>
      <c r="T25" s="11"/>
      <c r="U25" s="11"/>
      <c r="V25" s="11"/>
      <c r="W25" s="11"/>
      <c r="X25" s="11"/>
      <c r="Y25" s="11"/>
      <c r="Z25" s="11"/>
      <c r="AA25" s="11"/>
    </row>
    <row r="26" ht="156.75" customHeight="1">
      <c r="A26" s="76" t="s">
        <v>576</v>
      </c>
      <c r="B26" s="77" t="s">
        <v>578</v>
      </c>
      <c r="C26" s="79" t="s">
        <v>579</v>
      </c>
      <c r="D26" s="81" t="s">
        <v>580</v>
      </c>
      <c r="E26" s="23"/>
      <c r="F26" s="23"/>
      <c r="G26" s="85" t="s">
        <v>581</v>
      </c>
      <c r="H26" s="86">
        <v>46240.0</v>
      </c>
      <c r="I26" s="76" t="s">
        <v>26</v>
      </c>
      <c r="J26" s="79" t="s">
        <v>587</v>
      </c>
      <c r="K26" s="86"/>
      <c r="L26" s="76"/>
      <c r="M26" s="126"/>
      <c r="N26" s="11"/>
      <c r="O26" s="11"/>
      <c r="P26" s="11"/>
      <c r="Q26" s="11"/>
      <c r="R26" s="11"/>
      <c r="S26" s="11"/>
      <c r="T26" s="11"/>
      <c r="U26" s="11"/>
      <c r="V26" s="11"/>
      <c r="W26" s="11"/>
      <c r="X26" s="11"/>
      <c r="Y26" s="11"/>
      <c r="Z26" s="11"/>
      <c r="AA26" s="11"/>
    </row>
    <row r="27" ht="156.75" customHeight="1">
      <c r="A27" s="76" t="s">
        <v>588</v>
      </c>
      <c r="B27" s="77" t="s">
        <v>589</v>
      </c>
      <c r="C27" s="79" t="s">
        <v>590</v>
      </c>
      <c r="D27" s="81" t="s">
        <v>591</v>
      </c>
      <c r="E27" s="23"/>
      <c r="F27" s="23"/>
      <c r="G27" s="85" t="s">
        <v>593</v>
      </c>
      <c r="H27" s="86">
        <v>46240.0</v>
      </c>
      <c r="I27" s="76" t="s">
        <v>28</v>
      </c>
      <c r="J27" s="79" t="s">
        <v>599</v>
      </c>
      <c r="K27" s="86">
        <v>46241.0</v>
      </c>
      <c r="L27" s="76" t="s">
        <v>26</v>
      </c>
      <c r="M27" s="85" t="s">
        <v>601</v>
      </c>
      <c r="N27" s="11"/>
      <c r="O27" s="11"/>
      <c r="P27" s="11"/>
      <c r="Q27" s="11"/>
      <c r="R27" s="11"/>
      <c r="S27" s="11"/>
      <c r="T27" s="11"/>
      <c r="U27" s="11"/>
      <c r="V27" s="11"/>
      <c r="W27" s="11"/>
      <c r="X27" s="11"/>
      <c r="Y27" s="11"/>
      <c r="Z27" s="11"/>
      <c r="AA27" s="11"/>
    </row>
    <row r="28" ht="15.75" customHeight="1">
      <c r="A28" s="74" t="s">
        <v>603</v>
      </c>
      <c r="B28" s="23"/>
      <c r="C28" s="23"/>
      <c r="D28" s="23"/>
      <c r="E28" s="23"/>
      <c r="F28" s="23"/>
      <c r="G28" s="23"/>
      <c r="H28" s="23"/>
      <c r="I28" s="23"/>
      <c r="J28" s="23"/>
      <c r="K28" s="23"/>
      <c r="L28" s="23"/>
      <c r="M28" s="25"/>
      <c r="N28" s="11"/>
      <c r="O28" s="11"/>
      <c r="P28" s="11"/>
      <c r="Q28" s="11"/>
      <c r="R28" s="11"/>
      <c r="S28" s="11"/>
      <c r="T28" s="11"/>
      <c r="U28" s="11"/>
      <c r="V28" s="11"/>
      <c r="W28" s="11"/>
      <c r="X28" s="11"/>
      <c r="Y28" s="11"/>
      <c r="Z28" s="11"/>
      <c r="AA28" s="11"/>
    </row>
    <row r="29" ht="156.75" customHeight="1">
      <c r="A29" s="76" t="s">
        <v>604</v>
      </c>
      <c r="B29" s="77" t="s">
        <v>605</v>
      </c>
      <c r="C29" s="79" t="s">
        <v>606</v>
      </c>
      <c r="D29" s="81" t="s">
        <v>607</v>
      </c>
      <c r="E29" s="23"/>
      <c r="F29" s="23"/>
      <c r="G29" s="85" t="s">
        <v>608</v>
      </c>
      <c r="H29" s="86">
        <v>46240.0</v>
      </c>
      <c r="I29" s="76" t="s">
        <v>26</v>
      </c>
      <c r="J29" s="79" t="s">
        <v>609</v>
      </c>
      <c r="K29" s="86"/>
      <c r="L29" s="76"/>
      <c r="M29" s="126"/>
      <c r="N29" s="11"/>
      <c r="O29" s="11"/>
      <c r="P29" s="11"/>
      <c r="Q29" s="11"/>
      <c r="R29" s="11"/>
      <c r="S29" s="11"/>
      <c r="T29" s="11"/>
      <c r="U29" s="11"/>
      <c r="V29" s="11"/>
      <c r="W29" s="11"/>
      <c r="X29" s="11"/>
      <c r="Y29" s="11"/>
      <c r="Z29" s="11"/>
      <c r="AA29" s="11"/>
    </row>
    <row r="30" ht="156.75" customHeight="1">
      <c r="A30" s="76" t="s">
        <v>610</v>
      </c>
      <c r="B30" s="77" t="s">
        <v>611</v>
      </c>
      <c r="C30" s="79" t="s">
        <v>612</v>
      </c>
      <c r="D30" s="81" t="s">
        <v>613</v>
      </c>
      <c r="E30" s="23"/>
      <c r="F30" s="23"/>
      <c r="G30" s="85" t="s">
        <v>614</v>
      </c>
      <c r="H30" s="86">
        <v>46240.0</v>
      </c>
      <c r="I30" s="76" t="s">
        <v>26</v>
      </c>
      <c r="J30" s="79" t="s">
        <v>615</v>
      </c>
      <c r="K30" s="86"/>
      <c r="L30" s="76"/>
      <c r="M30" s="126"/>
      <c r="N30" s="11"/>
      <c r="O30" s="11"/>
      <c r="P30" s="11"/>
      <c r="Q30" s="11"/>
      <c r="R30" s="11"/>
      <c r="S30" s="11"/>
      <c r="T30" s="11"/>
      <c r="U30" s="11"/>
      <c r="V30" s="11"/>
      <c r="W30" s="11"/>
      <c r="X30" s="11"/>
      <c r="Y30" s="11"/>
      <c r="Z30" s="11"/>
      <c r="AA30" s="11"/>
    </row>
    <row r="31" ht="15.75" customHeight="1">
      <c r="A31" s="74" t="s">
        <v>616</v>
      </c>
      <c r="B31" s="23"/>
      <c r="C31" s="23"/>
      <c r="D31" s="23"/>
      <c r="E31" s="23"/>
      <c r="F31" s="23"/>
      <c r="G31" s="23"/>
      <c r="H31" s="23"/>
      <c r="I31" s="23"/>
      <c r="J31" s="23"/>
      <c r="K31" s="23"/>
      <c r="L31" s="23"/>
      <c r="M31" s="25"/>
      <c r="N31" s="11"/>
      <c r="O31" s="11"/>
      <c r="P31" s="11"/>
      <c r="Q31" s="11"/>
      <c r="R31" s="11"/>
      <c r="S31" s="11"/>
      <c r="T31" s="11"/>
      <c r="U31" s="11"/>
      <c r="V31" s="11"/>
      <c r="W31" s="11"/>
      <c r="X31" s="11"/>
      <c r="Y31" s="11"/>
      <c r="Z31" s="11"/>
      <c r="AA31" s="11"/>
    </row>
    <row r="32" ht="156.75" customHeight="1">
      <c r="A32" s="76" t="s">
        <v>617</v>
      </c>
      <c r="B32" s="77" t="s">
        <v>618</v>
      </c>
      <c r="C32" s="79" t="s">
        <v>619</v>
      </c>
      <c r="D32" s="81" t="s">
        <v>620</v>
      </c>
      <c r="E32" s="23"/>
      <c r="F32" s="23"/>
      <c r="G32" s="85" t="s">
        <v>621</v>
      </c>
      <c r="H32" s="86">
        <v>46242.0</v>
      </c>
      <c r="I32" s="76" t="s">
        <v>26</v>
      </c>
      <c r="J32" s="79" t="s">
        <v>622</v>
      </c>
      <c r="K32" s="86"/>
      <c r="L32" s="76"/>
      <c r="M32" s="126"/>
      <c r="N32" s="11"/>
      <c r="O32" s="11"/>
      <c r="P32" s="11"/>
      <c r="Q32" s="11"/>
      <c r="R32" s="11"/>
      <c r="S32" s="11"/>
      <c r="T32" s="11"/>
      <c r="U32" s="11"/>
      <c r="V32" s="11"/>
      <c r="W32" s="11"/>
      <c r="X32" s="11"/>
      <c r="Y32" s="11"/>
      <c r="Z32" s="11"/>
      <c r="AA32" s="11"/>
    </row>
    <row r="33" ht="156.75" customHeight="1">
      <c r="A33" s="76" t="s">
        <v>623</v>
      </c>
      <c r="B33" s="77" t="s">
        <v>624</v>
      </c>
      <c r="C33" s="79" t="s">
        <v>625</v>
      </c>
      <c r="D33" s="81" t="s">
        <v>626</v>
      </c>
      <c r="E33" s="23"/>
      <c r="F33" s="23"/>
      <c r="G33" s="85" t="s">
        <v>627</v>
      </c>
      <c r="H33" s="86">
        <v>46242.0</v>
      </c>
      <c r="I33" s="76" t="s">
        <v>26</v>
      </c>
      <c r="J33" s="79" t="s">
        <v>628</v>
      </c>
      <c r="K33" s="86"/>
      <c r="L33" s="76"/>
      <c r="M33" s="126"/>
      <c r="N33" s="11"/>
      <c r="O33" s="11"/>
      <c r="P33" s="11"/>
      <c r="Q33" s="11"/>
      <c r="R33" s="11"/>
      <c r="S33" s="11"/>
      <c r="T33" s="11"/>
      <c r="U33" s="11"/>
      <c r="V33" s="11"/>
      <c r="W33" s="11"/>
      <c r="X33" s="11"/>
      <c r="Y33" s="11"/>
      <c r="Z33" s="11"/>
      <c r="AA33" s="11"/>
    </row>
    <row r="34" ht="156.75" customHeight="1">
      <c r="A34" s="76" t="s">
        <v>629</v>
      </c>
      <c r="B34" s="77" t="s">
        <v>630</v>
      </c>
      <c r="C34" s="79" t="s">
        <v>631</v>
      </c>
      <c r="D34" s="81" t="s">
        <v>632</v>
      </c>
      <c r="E34" s="23"/>
      <c r="F34" s="23"/>
      <c r="G34" s="85" t="s">
        <v>633</v>
      </c>
      <c r="H34" s="86">
        <v>46242.0</v>
      </c>
      <c r="I34" s="76" t="s">
        <v>26</v>
      </c>
      <c r="J34" s="79" t="s">
        <v>634</v>
      </c>
      <c r="K34" s="86"/>
      <c r="L34" s="76"/>
      <c r="M34" s="126"/>
      <c r="N34" s="11"/>
      <c r="O34" s="11"/>
      <c r="P34" s="11"/>
      <c r="Q34" s="11"/>
      <c r="R34" s="11"/>
      <c r="S34" s="11"/>
      <c r="T34" s="11"/>
      <c r="U34" s="11"/>
      <c r="V34" s="11"/>
      <c r="W34" s="11"/>
      <c r="X34" s="11"/>
      <c r="Y34" s="11"/>
      <c r="Z34" s="11"/>
      <c r="AA34" s="11"/>
    </row>
    <row r="35" ht="156.75" customHeight="1">
      <c r="A35" s="76" t="s">
        <v>635</v>
      </c>
      <c r="B35" s="77" t="s">
        <v>636</v>
      </c>
      <c r="C35" s="79" t="s">
        <v>637</v>
      </c>
      <c r="D35" s="81" t="s">
        <v>638</v>
      </c>
      <c r="E35" s="23"/>
      <c r="F35" s="23"/>
      <c r="G35" s="85" t="s">
        <v>639</v>
      </c>
      <c r="H35" s="86">
        <v>46242.0</v>
      </c>
      <c r="I35" s="76" t="s">
        <v>26</v>
      </c>
      <c r="J35" s="79" t="s">
        <v>640</v>
      </c>
      <c r="K35" s="86"/>
      <c r="L35" s="76"/>
      <c r="M35" s="126"/>
      <c r="N35" s="11"/>
      <c r="O35" s="11"/>
      <c r="P35" s="11"/>
      <c r="Q35" s="11"/>
      <c r="R35" s="11"/>
      <c r="S35" s="11"/>
      <c r="T35" s="11"/>
      <c r="U35" s="11"/>
      <c r="V35" s="11"/>
      <c r="W35" s="11"/>
      <c r="X35" s="11"/>
      <c r="Y35" s="11"/>
      <c r="Z35" s="11"/>
      <c r="AA35" s="11"/>
    </row>
    <row r="36">
      <c r="A36" s="74" t="s">
        <v>641</v>
      </c>
      <c r="B36" s="23"/>
      <c r="C36" s="23"/>
      <c r="D36" s="23"/>
      <c r="E36" s="23"/>
      <c r="F36" s="23"/>
      <c r="G36" s="23"/>
      <c r="H36" s="23"/>
      <c r="I36" s="23"/>
      <c r="J36" s="23"/>
      <c r="K36" s="23"/>
      <c r="L36" s="23"/>
      <c r="M36" s="25"/>
      <c r="N36" s="11"/>
      <c r="O36" s="11"/>
      <c r="P36" s="11"/>
      <c r="Q36" s="11"/>
      <c r="R36" s="11"/>
      <c r="S36" s="11"/>
      <c r="T36" s="11"/>
      <c r="U36" s="11"/>
      <c r="V36" s="11"/>
      <c r="W36" s="11"/>
      <c r="X36" s="11"/>
      <c r="Y36" s="11"/>
      <c r="Z36" s="11"/>
      <c r="AA36" s="11"/>
    </row>
    <row r="37" ht="186.75" customHeight="1">
      <c r="A37" s="76" t="s">
        <v>642</v>
      </c>
      <c r="B37" s="77" t="s">
        <v>643</v>
      </c>
      <c r="C37" s="79" t="s">
        <v>644</v>
      </c>
      <c r="D37" s="81" t="s">
        <v>645</v>
      </c>
      <c r="E37" s="23"/>
      <c r="F37" s="23"/>
      <c r="G37" s="85" t="s">
        <v>646</v>
      </c>
      <c r="H37" s="86">
        <v>46242.0</v>
      </c>
      <c r="I37" s="76" t="s">
        <v>28</v>
      </c>
      <c r="J37" s="79" t="s">
        <v>647</v>
      </c>
      <c r="K37" s="86">
        <v>46242.0</v>
      </c>
      <c r="L37" s="76" t="s">
        <v>26</v>
      </c>
      <c r="M37" s="85" t="s">
        <v>648</v>
      </c>
      <c r="N37" s="11"/>
      <c r="O37" s="11"/>
      <c r="P37" s="11"/>
      <c r="Q37" s="11"/>
      <c r="R37" s="11"/>
      <c r="S37" s="11"/>
      <c r="T37" s="11"/>
      <c r="U37" s="11"/>
      <c r="V37" s="11"/>
      <c r="W37" s="11"/>
      <c r="X37" s="11"/>
      <c r="Y37" s="11"/>
      <c r="Z37" s="11"/>
      <c r="AA37" s="11"/>
    </row>
    <row r="38" ht="156.75" customHeight="1">
      <c r="A38" s="76" t="s">
        <v>649</v>
      </c>
      <c r="B38" s="77" t="s">
        <v>650</v>
      </c>
      <c r="C38" s="79" t="s">
        <v>651</v>
      </c>
      <c r="D38" s="81" t="s">
        <v>652</v>
      </c>
      <c r="E38" s="23"/>
      <c r="F38" s="23"/>
      <c r="G38" s="85" t="s">
        <v>653</v>
      </c>
      <c r="H38" s="86">
        <v>46242.0</v>
      </c>
      <c r="I38" s="76" t="s">
        <v>26</v>
      </c>
      <c r="J38" s="79" t="s">
        <v>654</v>
      </c>
      <c r="K38" s="86"/>
      <c r="L38" s="76"/>
      <c r="M38" s="126"/>
      <c r="N38" s="11"/>
      <c r="O38" s="11"/>
      <c r="P38" s="11"/>
      <c r="Q38" s="11"/>
      <c r="R38" s="11"/>
      <c r="S38" s="11"/>
      <c r="T38" s="11"/>
      <c r="U38" s="11"/>
      <c r="V38" s="11"/>
      <c r="W38" s="11"/>
      <c r="X38" s="11"/>
      <c r="Y38" s="11"/>
      <c r="Z38" s="11"/>
      <c r="AA38" s="11"/>
    </row>
    <row r="39">
      <c r="A39" s="74" t="s">
        <v>655</v>
      </c>
      <c r="B39" s="23"/>
      <c r="C39" s="23"/>
      <c r="D39" s="23"/>
      <c r="E39" s="23"/>
      <c r="F39" s="23"/>
      <c r="G39" s="23"/>
      <c r="H39" s="23"/>
      <c r="I39" s="23"/>
      <c r="J39" s="23"/>
      <c r="K39" s="23"/>
      <c r="L39" s="23"/>
      <c r="M39" s="25"/>
      <c r="N39" s="11"/>
      <c r="O39" s="11"/>
      <c r="P39" s="11"/>
      <c r="Q39" s="11"/>
      <c r="R39" s="11"/>
      <c r="S39" s="11"/>
      <c r="T39" s="11"/>
      <c r="U39" s="11"/>
      <c r="V39" s="11"/>
      <c r="W39" s="11"/>
      <c r="X39" s="11"/>
      <c r="Y39" s="11"/>
      <c r="Z39" s="11"/>
      <c r="AA39" s="11"/>
    </row>
    <row r="40" ht="156.75" customHeight="1">
      <c r="A40" s="76" t="s">
        <v>656</v>
      </c>
      <c r="B40" s="77" t="s">
        <v>657</v>
      </c>
      <c r="C40" s="79" t="s">
        <v>658</v>
      </c>
      <c r="D40" s="81" t="s">
        <v>659</v>
      </c>
      <c r="E40" s="23"/>
      <c r="F40" s="23"/>
      <c r="G40" s="85" t="s">
        <v>660</v>
      </c>
      <c r="H40" s="86">
        <v>46242.0</v>
      </c>
      <c r="I40" s="76" t="s">
        <v>26</v>
      </c>
      <c r="J40" s="79" t="s">
        <v>661</v>
      </c>
      <c r="K40" s="86"/>
      <c r="L40" s="76"/>
      <c r="M40" s="126"/>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27"/>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c r="AA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c r="AA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row>
    <row r="1001">
      <c r="A1001" s="11"/>
      <c r="B1001" s="11"/>
      <c r="C1001" s="11"/>
      <c r="D1001" s="11"/>
      <c r="E1001" s="11"/>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row>
    <row r="1002">
      <c r="A1002" s="11"/>
      <c r="B1002" s="11"/>
      <c r="C1002" s="11"/>
      <c r="D1002" s="11"/>
      <c r="E1002" s="11"/>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row>
    <row r="1003">
      <c r="A1003" s="11"/>
      <c r="B1003" s="11"/>
      <c r="C1003" s="11"/>
      <c r="D1003" s="11"/>
      <c r="E1003" s="11"/>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row>
  </sheetData>
  <mergeCells count="47">
    <mergeCell ref="B1:D2"/>
    <mergeCell ref="B3:D3"/>
    <mergeCell ref="B4:D4"/>
    <mergeCell ref="B5:D5"/>
    <mergeCell ref="A9:A10"/>
    <mergeCell ref="B9:B10"/>
    <mergeCell ref="C9:C10"/>
    <mergeCell ref="G9:G10"/>
    <mergeCell ref="H9:H10"/>
    <mergeCell ref="I9:I10"/>
    <mergeCell ref="J9:J10"/>
    <mergeCell ref="K9:K10"/>
    <mergeCell ref="L9:L10"/>
    <mergeCell ref="M9:M10"/>
    <mergeCell ref="D9:F10"/>
    <mergeCell ref="B11:M11"/>
    <mergeCell ref="A12:M12"/>
    <mergeCell ref="D13:F13"/>
    <mergeCell ref="A14:M14"/>
    <mergeCell ref="D15:F15"/>
    <mergeCell ref="D16:F16"/>
    <mergeCell ref="D17:F17"/>
    <mergeCell ref="A18:M18"/>
    <mergeCell ref="D19:F19"/>
    <mergeCell ref="D20:F20"/>
    <mergeCell ref="A21:M21"/>
    <mergeCell ref="N21:Z21"/>
    <mergeCell ref="D22:F22"/>
    <mergeCell ref="A23:M23"/>
    <mergeCell ref="N23:Z23"/>
    <mergeCell ref="D24:F24"/>
    <mergeCell ref="D25:F25"/>
    <mergeCell ref="D26:F26"/>
    <mergeCell ref="D27:F27"/>
    <mergeCell ref="A28:M28"/>
    <mergeCell ref="D35:F35"/>
    <mergeCell ref="D37:F37"/>
    <mergeCell ref="D38:F38"/>
    <mergeCell ref="D40:F40"/>
    <mergeCell ref="D29:F29"/>
    <mergeCell ref="D30:F30"/>
    <mergeCell ref="A31:M31"/>
    <mergeCell ref="D32:F32"/>
    <mergeCell ref="D33:F33"/>
    <mergeCell ref="D34:F34"/>
    <mergeCell ref="A36:M36"/>
    <mergeCell ref="A39:M39"/>
  </mergeCells>
  <hyperlinks>
    <hyperlink r:id="rId1" ref="G13"/>
    <hyperlink r:id="rId2" ref="G15"/>
    <hyperlink r:id="rId3" ref="M15"/>
    <hyperlink r:id="rId4" ref="G16"/>
    <hyperlink r:id="rId5" ref="M16"/>
    <hyperlink r:id="rId6" ref="G17"/>
    <hyperlink r:id="rId7" ref="M17"/>
    <hyperlink r:id="rId8" ref="G19"/>
    <hyperlink r:id="rId9" ref="G20"/>
    <hyperlink r:id="rId10" ref="G22"/>
    <hyperlink r:id="rId11" ref="G24"/>
    <hyperlink r:id="rId12" ref="M24"/>
    <hyperlink r:id="rId13" ref="G25"/>
    <hyperlink r:id="rId14" ref="G26"/>
    <hyperlink r:id="rId15" ref="G27"/>
    <hyperlink r:id="rId16" ref="M27"/>
    <hyperlink r:id="rId17" ref="G29"/>
    <hyperlink r:id="rId18" ref="G30"/>
    <hyperlink r:id="rId19" ref="G32"/>
    <hyperlink r:id="rId20" ref="G33"/>
    <hyperlink r:id="rId21" ref="G34"/>
    <hyperlink r:id="rId22" ref="G35"/>
    <hyperlink r:id="rId23" ref="G37"/>
    <hyperlink r:id="rId24" ref="M37"/>
    <hyperlink r:id="rId25" ref="G38"/>
    <hyperlink r:id="rId26" ref="G40"/>
  </hyperlinks>
  <drawing r:id="rId2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5.25"/>
    <col customWidth="1" min="8" max="8" width="20.13"/>
    <col customWidth="1" min="9" max="9" width="15.5"/>
    <col customWidth="1" min="10" max="10" width="21.38"/>
    <col customWidth="1" min="11" max="12" width="19.88"/>
    <col customWidth="1" min="13" max="13" width="24.63"/>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8" t="s">
        <v>520</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522</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5.0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0.0</v>
      </c>
      <c r="C7" s="48" t="s">
        <v>34</v>
      </c>
      <c r="D7" s="45">
        <v>5.0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11"/>
      <c r="L9" s="11"/>
      <c r="M9" s="11"/>
      <c r="N9" s="11"/>
      <c r="O9" s="11"/>
      <c r="P9" s="11"/>
      <c r="Q9" s="11"/>
      <c r="R9" s="11"/>
      <c r="S9" s="11"/>
      <c r="T9" s="11"/>
      <c r="U9" s="11"/>
      <c r="V9" s="11"/>
      <c r="W9" s="11"/>
      <c r="X9" s="11"/>
      <c r="Y9" s="11"/>
      <c r="Z9" s="11"/>
      <c r="AA9" s="11"/>
    </row>
    <row r="10">
      <c r="A10" s="63"/>
      <c r="B10" s="63"/>
      <c r="C10" s="63"/>
      <c r="D10" s="65"/>
      <c r="E10" s="14"/>
      <c r="F10" s="14"/>
      <c r="G10" s="63"/>
      <c r="H10" s="63"/>
      <c r="I10" s="63"/>
      <c r="J10" s="63"/>
      <c r="K10" s="11"/>
      <c r="L10" s="11"/>
      <c r="M10" s="11"/>
      <c r="N10" s="11"/>
      <c r="O10" s="11"/>
      <c r="P10" s="11"/>
      <c r="Q10" s="11"/>
      <c r="R10" s="11"/>
      <c r="S10" s="11"/>
      <c r="T10" s="11"/>
      <c r="U10" s="11"/>
      <c r="V10" s="11"/>
      <c r="W10" s="11"/>
      <c r="X10" s="11"/>
      <c r="Y10" s="11"/>
      <c r="Z10" s="11"/>
      <c r="AA10" s="11"/>
    </row>
    <row r="11">
      <c r="A11" s="69"/>
      <c r="B11" s="136"/>
      <c r="C11" s="23"/>
      <c r="D11" s="23"/>
      <c r="E11" s="23"/>
      <c r="F11" s="23"/>
      <c r="G11" s="23"/>
      <c r="H11" s="23"/>
      <c r="I11" s="23"/>
      <c r="J11" s="25"/>
      <c r="K11" s="11"/>
      <c r="L11" s="11"/>
      <c r="M11" s="11"/>
      <c r="N11" s="11"/>
      <c r="O11" s="11"/>
      <c r="P11" s="11"/>
      <c r="Q11" s="11"/>
      <c r="R11" s="11"/>
      <c r="S11" s="11"/>
      <c r="T11" s="11"/>
      <c r="U11" s="11"/>
      <c r="V11" s="11"/>
      <c r="W11" s="11"/>
      <c r="X11" s="11"/>
      <c r="Y11" s="11"/>
      <c r="Z11" s="11"/>
      <c r="AA11" s="11"/>
    </row>
    <row r="12">
      <c r="A12" s="74" t="s">
        <v>542</v>
      </c>
      <c r="B12" s="23"/>
      <c r="C12" s="23"/>
      <c r="D12" s="23"/>
      <c r="E12" s="23"/>
      <c r="F12" s="23"/>
      <c r="G12" s="23"/>
      <c r="H12" s="23"/>
      <c r="I12" s="23"/>
      <c r="J12" s="25"/>
      <c r="K12" s="11"/>
      <c r="L12" s="11"/>
      <c r="M12" s="11"/>
      <c r="N12" s="11"/>
      <c r="O12" s="11"/>
      <c r="P12" s="11"/>
      <c r="Q12" s="11"/>
      <c r="R12" s="11"/>
      <c r="S12" s="11"/>
      <c r="T12" s="11"/>
      <c r="U12" s="11"/>
      <c r="V12" s="11"/>
      <c r="W12" s="11"/>
      <c r="X12" s="11"/>
      <c r="Y12" s="11"/>
      <c r="Z12" s="11"/>
      <c r="AA12" s="11"/>
    </row>
    <row r="13" ht="156.75" customHeight="1">
      <c r="A13" s="76" t="s">
        <v>544</v>
      </c>
      <c r="B13" s="77" t="s">
        <v>545</v>
      </c>
      <c r="C13" s="79" t="s">
        <v>546</v>
      </c>
      <c r="D13" s="81" t="s">
        <v>548</v>
      </c>
      <c r="E13" s="23"/>
      <c r="F13" s="23"/>
      <c r="G13" s="85" t="s">
        <v>552</v>
      </c>
      <c r="H13" s="86">
        <v>46245.0</v>
      </c>
      <c r="I13" s="76" t="s">
        <v>26</v>
      </c>
      <c r="J13" s="79" t="s">
        <v>554</v>
      </c>
      <c r="K13" s="11"/>
      <c r="L13" s="11"/>
      <c r="M13" s="11"/>
      <c r="N13" s="11"/>
      <c r="O13" s="11"/>
      <c r="P13" s="11"/>
      <c r="Q13" s="11"/>
      <c r="R13" s="11"/>
      <c r="S13" s="11"/>
      <c r="T13" s="11"/>
      <c r="U13" s="11"/>
      <c r="V13" s="11"/>
      <c r="W13" s="11"/>
      <c r="X13" s="11"/>
      <c r="Y13" s="11"/>
      <c r="Z13" s="11"/>
      <c r="AA13" s="11"/>
    </row>
    <row r="14" ht="15.0" customHeight="1">
      <c r="A14" s="74" t="s">
        <v>555</v>
      </c>
      <c r="B14" s="23"/>
      <c r="C14" s="23"/>
      <c r="D14" s="23"/>
      <c r="E14" s="23"/>
      <c r="F14" s="23"/>
      <c r="G14" s="23"/>
      <c r="H14" s="23"/>
      <c r="I14" s="23"/>
      <c r="J14" s="25"/>
      <c r="K14" s="11"/>
      <c r="L14" s="11"/>
      <c r="M14" s="11"/>
      <c r="N14" s="11"/>
      <c r="O14" s="11"/>
      <c r="P14" s="11"/>
      <c r="Q14" s="11"/>
      <c r="R14" s="11"/>
      <c r="S14" s="11"/>
      <c r="T14" s="11"/>
      <c r="U14" s="11"/>
      <c r="V14" s="11"/>
      <c r="W14" s="11"/>
      <c r="X14" s="11"/>
      <c r="Y14" s="11"/>
      <c r="Z14" s="11"/>
      <c r="AA14" s="11"/>
    </row>
    <row r="15" ht="194.25" customHeight="1">
      <c r="A15" s="76" t="s">
        <v>558</v>
      </c>
      <c r="B15" s="77" t="s">
        <v>559</v>
      </c>
      <c r="C15" s="79" t="s">
        <v>560</v>
      </c>
      <c r="D15" s="81" t="s">
        <v>561</v>
      </c>
      <c r="E15" s="23"/>
      <c r="F15" s="23"/>
      <c r="G15" s="85" t="s">
        <v>562</v>
      </c>
      <c r="H15" s="86">
        <v>46245.0</v>
      </c>
      <c r="I15" s="76" t="s">
        <v>26</v>
      </c>
      <c r="J15" s="79" t="s">
        <v>567</v>
      </c>
      <c r="K15" s="11"/>
      <c r="L15" s="11"/>
      <c r="M15" s="11"/>
      <c r="N15" s="11"/>
      <c r="O15" s="11"/>
      <c r="P15" s="11"/>
      <c r="Q15" s="11"/>
      <c r="R15" s="11"/>
      <c r="S15" s="11"/>
      <c r="T15" s="11"/>
      <c r="U15" s="11"/>
      <c r="V15" s="11"/>
      <c r="W15" s="11"/>
      <c r="X15" s="11"/>
      <c r="Y15" s="11"/>
      <c r="Z15" s="11"/>
      <c r="AA15" s="11"/>
    </row>
    <row r="16" ht="177.0" customHeight="1">
      <c r="A16" s="76" t="s">
        <v>569</v>
      </c>
      <c r="B16" s="77" t="s">
        <v>570</v>
      </c>
      <c r="C16" s="79" t="s">
        <v>571</v>
      </c>
      <c r="D16" s="81" t="s">
        <v>572</v>
      </c>
      <c r="E16" s="23"/>
      <c r="F16" s="23"/>
      <c r="G16" s="85" t="s">
        <v>573</v>
      </c>
      <c r="H16" s="86">
        <v>46245.0</v>
      </c>
      <c r="I16" s="76" t="s">
        <v>26</v>
      </c>
      <c r="J16" s="79" t="s">
        <v>575</v>
      </c>
      <c r="K16" s="11"/>
      <c r="L16" s="11"/>
      <c r="M16" s="11"/>
      <c r="N16" s="11"/>
      <c r="O16" s="11"/>
      <c r="P16" s="11"/>
      <c r="Q16" s="11"/>
      <c r="R16" s="11"/>
      <c r="S16" s="11"/>
      <c r="T16" s="11"/>
      <c r="U16" s="11"/>
      <c r="V16" s="11"/>
      <c r="W16" s="11"/>
      <c r="X16" s="11"/>
      <c r="Y16" s="11"/>
      <c r="Z16" s="11"/>
      <c r="AA16" s="11"/>
    </row>
    <row r="17" ht="15.0" customHeight="1">
      <c r="A17" s="74" t="s">
        <v>577</v>
      </c>
      <c r="B17" s="23"/>
      <c r="C17" s="23"/>
      <c r="D17" s="23"/>
      <c r="E17" s="23"/>
      <c r="F17" s="23"/>
      <c r="G17" s="23"/>
      <c r="H17" s="23"/>
      <c r="I17" s="23"/>
      <c r="J17" s="25"/>
      <c r="K17" s="11"/>
      <c r="L17" s="11"/>
      <c r="M17" s="11"/>
      <c r="N17" s="11"/>
      <c r="O17" s="11"/>
      <c r="P17" s="11"/>
      <c r="Q17" s="11"/>
      <c r="R17" s="11"/>
      <c r="S17" s="11"/>
      <c r="T17" s="11"/>
      <c r="U17" s="11"/>
      <c r="V17" s="11"/>
      <c r="W17" s="11"/>
      <c r="X17" s="11"/>
      <c r="Y17" s="11"/>
      <c r="Z17" s="11"/>
      <c r="AA17" s="11"/>
    </row>
    <row r="18" ht="177.75" customHeight="1">
      <c r="A18" s="76" t="s">
        <v>582</v>
      </c>
      <c r="B18" s="77" t="s">
        <v>583</v>
      </c>
      <c r="C18" s="79" t="s">
        <v>584</v>
      </c>
      <c r="D18" s="81" t="s">
        <v>585</v>
      </c>
      <c r="E18" s="23"/>
      <c r="F18" s="23"/>
      <c r="G18" s="85" t="s">
        <v>586</v>
      </c>
      <c r="H18" s="86">
        <v>46245.0</v>
      </c>
      <c r="I18" s="76" t="s">
        <v>26</v>
      </c>
      <c r="J18" s="79" t="s">
        <v>592</v>
      </c>
      <c r="K18" s="11"/>
      <c r="L18" s="11"/>
      <c r="M18" s="11"/>
      <c r="N18" s="11"/>
      <c r="O18" s="11"/>
      <c r="P18" s="11"/>
      <c r="Q18" s="11"/>
      <c r="R18" s="11"/>
      <c r="S18" s="11"/>
      <c r="T18" s="11"/>
      <c r="U18" s="11"/>
      <c r="V18" s="11"/>
      <c r="W18" s="11"/>
      <c r="X18" s="11"/>
      <c r="Y18" s="11"/>
      <c r="Z18" s="11"/>
      <c r="AA18" s="11"/>
    </row>
    <row r="19" ht="17.25" customHeight="1">
      <c r="A19" s="74" t="s">
        <v>594</v>
      </c>
      <c r="B19" s="23"/>
      <c r="C19" s="23"/>
      <c r="D19" s="23"/>
      <c r="E19" s="23"/>
      <c r="F19" s="23"/>
      <c r="G19" s="23"/>
      <c r="H19" s="23"/>
      <c r="I19" s="23"/>
      <c r="J19" s="25"/>
      <c r="K19" s="11"/>
      <c r="L19" s="11"/>
      <c r="M19" s="11"/>
      <c r="N19" s="11"/>
      <c r="O19" s="11"/>
      <c r="P19" s="11"/>
      <c r="Q19" s="11"/>
      <c r="R19" s="11"/>
      <c r="S19" s="11"/>
      <c r="T19" s="11"/>
      <c r="U19" s="11"/>
      <c r="V19" s="11"/>
      <c r="W19" s="11"/>
      <c r="X19" s="11"/>
      <c r="Y19" s="11"/>
      <c r="Z19" s="11"/>
      <c r="AA19" s="11"/>
    </row>
    <row r="20" ht="230.25" customHeight="1">
      <c r="A20" s="76" t="s">
        <v>595</v>
      </c>
      <c r="B20" s="77" t="s">
        <v>596</v>
      </c>
      <c r="C20" s="79" t="s">
        <v>597</v>
      </c>
      <c r="D20" s="81" t="s">
        <v>598</v>
      </c>
      <c r="E20" s="23"/>
      <c r="F20" s="23"/>
      <c r="G20" s="85" t="s">
        <v>600</v>
      </c>
      <c r="H20" s="86">
        <v>46245.0</v>
      </c>
      <c r="I20" s="76" t="s">
        <v>26</v>
      </c>
      <c r="J20" s="79" t="s">
        <v>602</v>
      </c>
      <c r="K20" s="11"/>
      <c r="L20" s="11"/>
      <c r="M20" s="11"/>
      <c r="N20" s="11"/>
      <c r="O20" s="11"/>
      <c r="P20" s="11"/>
      <c r="Q20" s="11"/>
      <c r="R20" s="11"/>
      <c r="S20" s="11"/>
      <c r="T20" s="11"/>
      <c r="U20" s="11"/>
      <c r="V20" s="11"/>
      <c r="W20" s="11"/>
      <c r="X20" s="11"/>
      <c r="Y20" s="11"/>
      <c r="Z20" s="11"/>
      <c r="AA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35"/>
      <c r="Z21" s="135"/>
      <c r="AA21" s="11"/>
    </row>
    <row r="22" ht="128.2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37"/>
      <c r="Z23" s="137"/>
      <c r="AA23" s="11"/>
    </row>
    <row r="24" ht="126.0"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row>
    <row r="25" ht="152.2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row>
    <row r="26" ht="156.7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K29" s="11"/>
      <c r="L29" s="11"/>
      <c r="M29" s="11"/>
      <c r="N29" s="11"/>
      <c r="O29" s="11"/>
      <c r="P29" s="11"/>
      <c r="Q29" s="11"/>
      <c r="R29" s="11"/>
      <c r="S29" s="11"/>
      <c r="T29" s="11"/>
      <c r="U29" s="11"/>
      <c r="V29" s="11"/>
      <c r="W29" s="11"/>
      <c r="X29" s="11"/>
      <c r="Y29" s="11"/>
      <c r="Z29" s="11"/>
      <c r="AA29" s="11"/>
    </row>
    <row r="30">
      <c r="A30" s="11"/>
      <c r="B30" s="11"/>
      <c r="C30" s="11"/>
      <c r="D30" s="11"/>
      <c r="E30" s="11"/>
      <c r="F30" s="11"/>
      <c r="G30" s="127"/>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Y983" s="11"/>
      <c r="Z983" s="11"/>
      <c r="AA983" s="11"/>
    </row>
    <row r="984">
      <c r="Y984" s="11"/>
      <c r="Z984" s="11"/>
      <c r="AA984" s="11"/>
    </row>
    <row r="985">
      <c r="Y985" s="11"/>
      <c r="Z985" s="11"/>
      <c r="AA985" s="11"/>
    </row>
    <row r="986">
      <c r="Y986" s="11"/>
      <c r="Z986" s="11"/>
      <c r="AA986" s="11"/>
    </row>
    <row r="987">
      <c r="Y987" s="11"/>
      <c r="Z987" s="11"/>
      <c r="AA987" s="11"/>
    </row>
    <row r="988">
      <c r="Y988" s="11"/>
      <c r="Z988" s="11"/>
      <c r="AA988" s="11"/>
    </row>
    <row r="989">
      <c r="Y989" s="11"/>
      <c r="Z989" s="11"/>
      <c r="AA989" s="11"/>
    </row>
    <row r="990">
      <c r="Y990" s="11"/>
      <c r="Z990" s="11"/>
      <c r="AA990" s="11"/>
    </row>
    <row r="991">
      <c r="Y991" s="11"/>
      <c r="Z991" s="11"/>
      <c r="AA991" s="11"/>
    </row>
    <row r="992">
      <c r="Y992" s="11"/>
      <c r="Z992" s="11"/>
      <c r="AA992" s="11"/>
    </row>
    <row r="993">
      <c r="Y993" s="11"/>
      <c r="Z993" s="11"/>
      <c r="AA993" s="11"/>
    </row>
  </sheetData>
  <mergeCells count="22">
    <mergeCell ref="B1:D2"/>
    <mergeCell ref="B3:D3"/>
    <mergeCell ref="B4:D4"/>
    <mergeCell ref="B5:D5"/>
    <mergeCell ref="A9:A10"/>
    <mergeCell ref="B9:B10"/>
    <mergeCell ref="C9:C10"/>
    <mergeCell ref="D13:F13"/>
    <mergeCell ref="A14:J14"/>
    <mergeCell ref="D15:F15"/>
    <mergeCell ref="D16:F16"/>
    <mergeCell ref="A17:J17"/>
    <mergeCell ref="D18:F18"/>
    <mergeCell ref="A19:J19"/>
    <mergeCell ref="D20:F20"/>
    <mergeCell ref="D9:F10"/>
    <mergeCell ref="G9:G10"/>
    <mergeCell ref="H9:H10"/>
    <mergeCell ref="I9:I10"/>
    <mergeCell ref="J9:J10"/>
    <mergeCell ref="B11:J11"/>
    <mergeCell ref="A12:J12"/>
  </mergeCells>
  <hyperlinks>
    <hyperlink r:id="rId1" ref="G13"/>
    <hyperlink r:id="rId2" ref="G15"/>
    <hyperlink r:id="rId3" ref="G16"/>
    <hyperlink r:id="rId4" ref="G18"/>
    <hyperlink r:id="rId5" ref="G20"/>
  </hyperlinks>
  <drawing r:id="rId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8.13"/>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8" t="s">
        <v>662</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663</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5.0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1.0</v>
      </c>
      <c r="C7" s="48" t="s">
        <v>34</v>
      </c>
      <c r="D7" s="45">
        <v>6.0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61" t="s">
        <v>45</v>
      </c>
      <c r="L9" s="59" t="s">
        <v>47</v>
      </c>
      <c r="M9" s="59" t="s">
        <v>48</v>
      </c>
      <c r="N9" s="11"/>
      <c r="O9" s="11"/>
      <c r="P9" s="11"/>
      <c r="Q9" s="11"/>
      <c r="R9" s="11"/>
      <c r="S9" s="11"/>
      <c r="T9" s="11"/>
      <c r="U9" s="11"/>
      <c r="V9" s="11"/>
      <c r="W9" s="11"/>
      <c r="X9" s="11"/>
      <c r="Y9" s="11"/>
      <c r="Z9" s="11"/>
      <c r="AA9" s="11"/>
    </row>
    <row r="10">
      <c r="A10" s="63"/>
      <c r="B10" s="63"/>
      <c r="C10" s="63"/>
      <c r="D10" s="65"/>
      <c r="E10" s="14"/>
      <c r="F10" s="14"/>
      <c r="G10" s="63"/>
      <c r="H10" s="63"/>
      <c r="I10" s="63"/>
      <c r="J10" s="63"/>
      <c r="K10" s="63"/>
      <c r="L10" s="63"/>
      <c r="M10" s="63"/>
      <c r="N10" s="11"/>
      <c r="O10" s="11"/>
      <c r="P10" s="11"/>
      <c r="Q10" s="11"/>
      <c r="R10" s="11"/>
      <c r="S10" s="11"/>
      <c r="T10" s="11"/>
      <c r="U10" s="11"/>
      <c r="V10" s="11"/>
      <c r="W10" s="11"/>
      <c r="X10" s="11"/>
      <c r="Y10" s="11"/>
      <c r="Z10" s="11"/>
      <c r="AA10" s="11"/>
    </row>
    <row r="11">
      <c r="A11" s="69"/>
      <c r="B11" s="52"/>
      <c r="C11" s="23"/>
      <c r="D11" s="23"/>
      <c r="E11" s="23"/>
      <c r="F11" s="23"/>
      <c r="G11" s="23"/>
      <c r="H11" s="23"/>
      <c r="I11" s="23"/>
      <c r="J11" s="23"/>
      <c r="K11" s="23"/>
      <c r="L11" s="23"/>
      <c r="M11" s="23"/>
      <c r="N11" s="11"/>
      <c r="O11" s="11"/>
      <c r="P11" s="11"/>
      <c r="Q11" s="11"/>
      <c r="R11" s="11"/>
      <c r="S11" s="11"/>
      <c r="T11" s="11"/>
      <c r="U11" s="11"/>
      <c r="V11" s="11"/>
      <c r="W11" s="11"/>
      <c r="X11" s="11"/>
      <c r="Y11" s="11"/>
      <c r="Z11" s="11"/>
      <c r="AA11" s="11"/>
    </row>
    <row r="12">
      <c r="A12" s="74" t="s">
        <v>664</v>
      </c>
      <c r="B12" s="23"/>
      <c r="C12" s="23"/>
      <c r="D12" s="23"/>
      <c r="E12" s="23"/>
      <c r="F12" s="23"/>
      <c r="G12" s="23"/>
      <c r="H12" s="23"/>
      <c r="I12" s="23"/>
      <c r="J12" s="23"/>
      <c r="K12" s="23"/>
      <c r="L12" s="23"/>
      <c r="M12" s="25"/>
      <c r="N12" s="11"/>
      <c r="O12" s="11"/>
      <c r="P12" s="11"/>
      <c r="Q12" s="11"/>
      <c r="R12" s="11"/>
      <c r="S12" s="11"/>
      <c r="T12" s="11"/>
      <c r="U12" s="11"/>
      <c r="V12" s="11"/>
      <c r="W12" s="11"/>
      <c r="X12" s="11"/>
      <c r="Y12" s="11"/>
      <c r="Z12" s="11"/>
      <c r="AA12" s="11"/>
    </row>
    <row r="13" ht="138.75" customHeight="1">
      <c r="A13" s="76" t="s">
        <v>665</v>
      </c>
      <c r="B13" s="77" t="s">
        <v>666</v>
      </c>
      <c r="C13" s="79" t="s">
        <v>667</v>
      </c>
      <c r="D13" s="81" t="s">
        <v>668</v>
      </c>
      <c r="E13" s="23"/>
      <c r="F13" s="23"/>
      <c r="G13" s="85" t="s">
        <v>669</v>
      </c>
      <c r="H13" s="86">
        <v>46246.0</v>
      </c>
      <c r="I13" s="76" t="s">
        <v>26</v>
      </c>
      <c r="J13" s="79" t="s">
        <v>670</v>
      </c>
      <c r="K13" s="87"/>
      <c r="L13" s="87"/>
      <c r="M13" s="88"/>
      <c r="N13" s="11"/>
      <c r="O13" s="11"/>
      <c r="P13" s="11"/>
      <c r="Q13" s="11"/>
      <c r="R13" s="11"/>
      <c r="S13" s="11"/>
      <c r="T13" s="11"/>
      <c r="U13" s="11"/>
      <c r="V13" s="11"/>
      <c r="W13" s="11"/>
      <c r="X13" s="11"/>
      <c r="Y13" s="11"/>
      <c r="Z13" s="11"/>
      <c r="AA13" s="11"/>
    </row>
    <row r="14" ht="156.0" customHeight="1">
      <c r="A14" s="76" t="s">
        <v>671</v>
      </c>
      <c r="B14" s="77" t="s">
        <v>672</v>
      </c>
      <c r="C14" s="79" t="s">
        <v>673</v>
      </c>
      <c r="D14" s="81" t="s">
        <v>674</v>
      </c>
      <c r="E14" s="23"/>
      <c r="F14" s="23"/>
      <c r="G14" s="85" t="s">
        <v>675</v>
      </c>
      <c r="H14" s="86">
        <v>46246.0</v>
      </c>
      <c r="I14" s="76" t="s">
        <v>26</v>
      </c>
      <c r="J14" s="79" t="s">
        <v>676</v>
      </c>
      <c r="K14" s="86"/>
      <c r="L14" s="76"/>
      <c r="M14" s="79"/>
      <c r="N14" s="11"/>
      <c r="O14" s="11"/>
      <c r="P14" s="11"/>
      <c r="Q14" s="11"/>
      <c r="R14" s="11"/>
      <c r="S14" s="11"/>
      <c r="T14" s="11"/>
      <c r="U14" s="11"/>
      <c r="V14" s="11"/>
      <c r="W14" s="11"/>
      <c r="X14" s="11"/>
      <c r="Y14" s="11"/>
      <c r="Z14" s="11"/>
      <c r="AA14" s="11"/>
    </row>
    <row r="15" ht="15.75" customHeight="1">
      <c r="A15" s="74" t="s">
        <v>677</v>
      </c>
      <c r="B15" s="23"/>
      <c r="C15" s="23"/>
      <c r="D15" s="23"/>
      <c r="E15" s="23"/>
      <c r="F15" s="23"/>
      <c r="G15" s="23"/>
      <c r="H15" s="23"/>
      <c r="I15" s="23"/>
      <c r="J15" s="23"/>
      <c r="K15" s="23"/>
      <c r="L15" s="23"/>
      <c r="M15" s="25"/>
      <c r="N15" s="11"/>
      <c r="O15" s="11"/>
      <c r="P15" s="11"/>
      <c r="Q15" s="11"/>
      <c r="R15" s="11"/>
      <c r="S15" s="11"/>
      <c r="T15" s="11"/>
      <c r="U15" s="11"/>
      <c r="V15" s="11"/>
      <c r="W15" s="11"/>
      <c r="X15" s="11"/>
      <c r="Y15" s="11"/>
      <c r="Z15" s="11"/>
      <c r="AA15" s="11"/>
    </row>
    <row r="16" ht="183.75" customHeight="1">
      <c r="A16" s="76" t="s">
        <v>678</v>
      </c>
      <c r="B16" s="77" t="s">
        <v>679</v>
      </c>
      <c r="C16" s="79" t="s">
        <v>680</v>
      </c>
      <c r="D16" s="81" t="s">
        <v>681</v>
      </c>
      <c r="E16" s="23"/>
      <c r="F16" s="23"/>
      <c r="G16" s="85" t="s">
        <v>682</v>
      </c>
      <c r="H16" s="86">
        <v>46246.0</v>
      </c>
      <c r="I16" s="76" t="s">
        <v>26</v>
      </c>
      <c r="J16" s="79" t="s">
        <v>683</v>
      </c>
      <c r="K16" s="86"/>
      <c r="L16" s="76"/>
      <c r="M16" s="79"/>
      <c r="N16" s="11"/>
      <c r="O16" s="11"/>
      <c r="P16" s="11"/>
      <c r="Q16" s="11"/>
      <c r="R16" s="11"/>
      <c r="S16" s="11"/>
      <c r="T16" s="11"/>
      <c r="U16" s="11"/>
      <c r="V16" s="11"/>
      <c r="W16" s="11"/>
      <c r="X16" s="11"/>
      <c r="Y16" s="11"/>
      <c r="Z16" s="11"/>
      <c r="AA16" s="11"/>
    </row>
    <row r="17" ht="14.25" customHeight="1">
      <c r="A17" s="74" t="s">
        <v>684</v>
      </c>
      <c r="B17" s="23"/>
      <c r="C17" s="23"/>
      <c r="D17" s="23"/>
      <c r="E17" s="23"/>
      <c r="F17" s="23"/>
      <c r="G17" s="23"/>
      <c r="H17" s="23"/>
      <c r="I17" s="23"/>
      <c r="J17" s="23"/>
      <c r="K17" s="23"/>
      <c r="L17" s="23"/>
      <c r="M17" s="25"/>
      <c r="N17" s="11"/>
      <c r="O17" s="11"/>
      <c r="P17" s="11"/>
      <c r="Q17" s="11"/>
      <c r="R17" s="11"/>
      <c r="S17" s="11"/>
      <c r="T17" s="11"/>
      <c r="U17" s="11"/>
      <c r="V17" s="11"/>
      <c r="W17" s="11"/>
      <c r="X17" s="11"/>
      <c r="Y17" s="11"/>
      <c r="Z17" s="11"/>
      <c r="AA17" s="11"/>
    </row>
    <row r="18" ht="183.75" customHeight="1">
      <c r="A18" s="76" t="s">
        <v>685</v>
      </c>
      <c r="B18" s="77" t="s">
        <v>686</v>
      </c>
      <c r="C18" s="79" t="s">
        <v>687</v>
      </c>
      <c r="D18" s="81" t="s">
        <v>688</v>
      </c>
      <c r="E18" s="23"/>
      <c r="F18" s="23"/>
      <c r="G18" s="85" t="s">
        <v>689</v>
      </c>
      <c r="H18" s="86">
        <v>46246.0</v>
      </c>
      <c r="I18" s="76" t="s">
        <v>28</v>
      </c>
      <c r="J18" s="79" t="s">
        <v>690</v>
      </c>
      <c r="K18" s="86">
        <v>46247.0</v>
      </c>
      <c r="L18" s="76" t="s">
        <v>26</v>
      </c>
      <c r="M18" s="85" t="s">
        <v>691</v>
      </c>
      <c r="N18" s="11"/>
      <c r="O18" s="11"/>
      <c r="P18" s="11"/>
      <c r="Q18" s="11"/>
      <c r="R18" s="11"/>
      <c r="S18" s="11"/>
      <c r="T18" s="11"/>
      <c r="U18" s="11"/>
      <c r="V18" s="11"/>
      <c r="W18" s="11"/>
      <c r="X18" s="11"/>
      <c r="Y18" s="11"/>
      <c r="Z18" s="11"/>
      <c r="AA18" s="11"/>
    </row>
    <row r="19">
      <c r="A19" s="74" t="s">
        <v>692</v>
      </c>
      <c r="B19" s="23"/>
      <c r="C19" s="23"/>
      <c r="D19" s="23"/>
      <c r="E19" s="23"/>
      <c r="F19" s="23"/>
      <c r="G19" s="23"/>
      <c r="H19" s="23"/>
      <c r="I19" s="23"/>
      <c r="J19" s="23"/>
      <c r="K19" s="23"/>
      <c r="L19" s="23"/>
      <c r="M19" s="25"/>
      <c r="N19" s="11"/>
      <c r="O19" s="11"/>
      <c r="P19" s="11"/>
      <c r="Q19" s="11"/>
      <c r="R19" s="11"/>
      <c r="S19" s="11"/>
      <c r="T19" s="11"/>
      <c r="U19" s="11"/>
      <c r="V19" s="11"/>
      <c r="W19" s="11"/>
      <c r="X19" s="11"/>
      <c r="Y19" s="11"/>
      <c r="Z19" s="11"/>
      <c r="AA19" s="11"/>
    </row>
    <row r="20" ht="126.75" customHeight="1">
      <c r="A20" s="76" t="s">
        <v>693</v>
      </c>
      <c r="B20" s="77" t="s">
        <v>694</v>
      </c>
      <c r="C20" s="79" t="s">
        <v>695</v>
      </c>
      <c r="D20" s="81" t="s">
        <v>696</v>
      </c>
      <c r="E20" s="23"/>
      <c r="F20" s="23"/>
      <c r="G20" s="85" t="s">
        <v>697</v>
      </c>
      <c r="H20" s="86">
        <v>46247.0</v>
      </c>
      <c r="I20" s="76" t="s">
        <v>26</v>
      </c>
      <c r="J20" s="79" t="s">
        <v>698</v>
      </c>
      <c r="K20" s="86"/>
      <c r="L20" s="76"/>
      <c r="M20" s="79"/>
      <c r="N20" s="11"/>
      <c r="O20" s="11"/>
      <c r="P20" s="11"/>
      <c r="Q20" s="11"/>
      <c r="R20" s="11"/>
      <c r="S20" s="11"/>
      <c r="T20" s="11"/>
      <c r="U20" s="11"/>
      <c r="V20" s="11"/>
      <c r="W20" s="11"/>
      <c r="X20" s="11"/>
      <c r="Y20" s="11"/>
      <c r="Z20" s="11"/>
      <c r="AA20" s="11"/>
    </row>
    <row r="21">
      <c r="A21" s="74" t="s">
        <v>699</v>
      </c>
      <c r="B21" s="23"/>
      <c r="C21" s="23"/>
      <c r="D21" s="23"/>
      <c r="E21" s="23"/>
      <c r="F21" s="23"/>
      <c r="G21" s="23"/>
      <c r="H21" s="23"/>
      <c r="I21" s="23"/>
      <c r="J21" s="23"/>
      <c r="K21" s="23"/>
      <c r="L21" s="23"/>
      <c r="M21" s="25"/>
      <c r="N21" s="135"/>
      <c r="AA21" s="11"/>
    </row>
    <row r="22" ht="186.75" customHeight="1">
      <c r="A22" s="76" t="s">
        <v>700</v>
      </c>
      <c r="B22" s="77" t="s">
        <v>701</v>
      </c>
      <c r="C22" s="79" t="s">
        <v>702</v>
      </c>
      <c r="D22" s="81" t="s">
        <v>703</v>
      </c>
      <c r="E22" s="23"/>
      <c r="F22" s="23"/>
      <c r="G22" s="129" t="s">
        <v>704</v>
      </c>
      <c r="H22" s="86">
        <v>46247.0</v>
      </c>
      <c r="I22" s="76" t="s">
        <v>26</v>
      </c>
      <c r="J22" s="79" t="s">
        <v>705</v>
      </c>
      <c r="K22" s="87"/>
      <c r="L22" s="87"/>
      <c r="M22" s="88"/>
      <c r="N22" s="11"/>
      <c r="O22" s="11"/>
      <c r="P22" s="11"/>
      <c r="Q22" s="11"/>
      <c r="R22" s="11"/>
      <c r="S22" s="11"/>
      <c r="T22" s="11"/>
      <c r="U22" s="11"/>
      <c r="V22" s="11"/>
      <c r="W22" s="11"/>
      <c r="X22" s="11"/>
      <c r="Y22" s="11"/>
      <c r="Z22" s="11"/>
      <c r="AA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27"/>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sheetData>
  <mergeCells count="28">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20:F20"/>
    <mergeCell ref="D22:F22"/>
    <mergeCell ref="A19:M19"/>
    <mergeCell ref="A21:M21"/>
    <mergeCell ref="N21:Z21"/>
    <mergeCell ref="D9:F10"/>
    <mergeCell ref="B11:M11"/>
    <mergeCell ref="A12:M12"/>
    <mergeCell ref="D13:F13"/>
    <mergeCell ref="D14:F14"/>
    <mergeCell ref="A15:M15"/>
    <mergeCell ref="A17:M17"/>
  </mergeCells>
  <hyperlinks>
    <hyperlink r:id="rId1" ref="G13"/>
    <hyperlink r:id="rId2" ref="G14"/>
    <hyperlink r:id="rId3" ref="G16"/>
    <hyperlink r:id="rId4" ref="G18"/>
    <hyperlink r:id="rId5" ref="M18"/>
    <hyperlink r:id="rId6" ref="G20"/>
    <hyperlink r:id="rId7" ref="G22"/>
  </hyperlinks>
  <drawing r:id="rId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4" t="s">
        <v>2</v>
      </c>
      <c r="B1" s="6"/>
      <c r="E1" s="6"/>
      <c r="F1" s="6"/>
      <c r="G1" s="6"/>
      <c r="H1" s="6"/>
      <c r="I1" s="6"/>
      <c r="J1" s="6"/>
      <c r="K1" s="11"/>
      <c r="L1" s="11"/>
      <c r="M1" s="11"/>
      <c r="N1" s="11"/>
      <c r="O1" s="11"/>
      <c r="P1" s="11"/>
      <c r="Q1" s="11"/>
      <c r="R1" s="11"/>
      <c r="S1" s="11"/>
      <c r="T1" s="11"/>
      <c r="U1" s="11"/>
      <c r="V1" s="11"/>
      <c r="W1" s="11"/>
      <c r="X1" s="11"/>
    </row>
    <row r="2">
      <c r="A2" s="6"/>
      <c r="B2" s="14"/>
      <c r="C2" s="14"/>
      <c r="D2" s="14"/>
      <c r="E2" s="6"/>
      <c r="F2" s="6"/>
      <c r="G2" s="6"/>
      <c r="H2" s="6"/>
      <c r="I2" s="6"/>
      <c r="J2" s="6"/>
      <c r="K2" s="11"/>
      <c r="L2" s="11"/>
      <c r="M2" s="11"/>
      <c r="N2" s="11"/>
      <c r="O2" s="11"/>
      <c r="P2" s="11"/>
      <c r="Q2" s="11"/>
      <c r="R2" s="11"/>
      <c r="S2" s="11"/>
      <c r="T2" s="11"/>
      <c r="U2" s="11"/>
      <c r="V2" s="11"/>
      <c r="W2" s="11"/>
      <c r="X2" s="11"/>
    </row>
    <row r="3">
      <c r="A3" s="18" t="s">
        <v>8</v>
      </c>
      <c r="B3" s="21" t="s">
        <v>10</v>
      </c>
      <c r="C3" s="23"/>
      <c r="D3" s="25"/>
      <c r="E3" s="6"/>
      <c r="F3" s="6"/>
      <c r="G3" s="6"/>
      <c r="H3" s="6"/>
      <c r="I3" s="11"/>
      <c r="J3" s="11"/>
      <c r="K3" s="11"/>
      <c r="L3" s="11"/>
      <c r="M3" s="11"/>
      <c r="N3" s="11"/>
      <c r="O3" s="11"/>
      <c r="P3" s="11"/>
      <c r="Q3" s="11"/>
      <c r="R3" s="11"/>
      <c r="S3" s="11"/>
      <c r="T3" s="11"/>
      <c r="U3" s="11"/>
      <c r="V3" s="11"/>
      <c r="W3" s="11"/>
      <c r="X3" s="11"/>
    </row>
    <row r="4">
      <c r="A4" s="18" t="s">
        <v>13</v>
      </c>
      <c r="B4" s="28" t="s">
        <v>706</v>
      </c>
      <c r="C4" s="23"/>
      <c r="D4" s="25"/>
      <c r="E4" s="6"/>
      <c r="F4" s="6"/>
      <c r="G4" s="6"/>
      <c r="H4" s="6"/>
      <c r="I4" s="11"/>
      <c r="J4" s="11"/>
      <c r="K4" s="11"/>
      <c r="L4" s="11"/>
      <c r="M4" s="11"/>
      <c r="N4" s="11"/>
      <c r="O4" s="11"/>
      <c r="P4" s="11"/>
      <c r="Q4" s="11"/>
      <c r="R4" s="11"/>
      <c r="S4" s="11"/>
      <c r="T4" s="11"/>
      <c r="U4" s="11"/>
      <c r="V4" s="11"/>
      <c r="W4" s="11"/>
      <c r="X4" s="11"/>
    </row>
    <row r="5">
      <c r="A5" s="18" t="s">
        <v>17</v>
      </c>
      <c r="B5" s="21" t="s">
        <v>707</v>
      </c>
      <c r="C5" s="23"/>
      <c r="D5" s="25"/>
      <c r="E5" s="6"/>
      <c r="F5" s="6"/>
      <c r="G5" s="6"/>
      <c r="H5" s="6"/>
      <c r="I5" s="11"/>
      <c r="J5" s="11"/>
      <c r="K5" s="11"/>
      <c r="L5" s="11"/>
      <c r="M5" s="11"/>
      <c r="N5" s="11"/>
      <c r="O5" s="11"/>
      <c r="P5" s="11"/>
      <c r="Q5" s="11"/>
      <c r="R5" s="11"/>
      <c r="S5" s="11"/>
      <c r="T5" s="11"/>
      <c r="U5" s="11"/>
      <c r="V5" s="11"/>
      <c r="W5" s="11"/>
      <c r="X5" s="11"/>
    </row>
    <row r="6">
      <c r="A6" s="37" t="s">
        <v>26</v>
      </c>
      <c r="B6" s="40">
        <v>5.0</v>
      </c>
      <c r="C6" s="43" t="s">
        <v>29</v>
      </c>
      <c r="D6" s="45">
        <v>0.0</v>
      </c>
      <c r="E6" s="6"/>
      <c r="F6" s="6"/>
      <c r="G6" s="6"/>
      <c r="H6" s="6"/>
      <c r="I6" s="11"/>
      <c r="J6" s="11"/>
      <c r="K6" s="11"/>
      <c r="L6" s="11"/>
      <c r="M6" s="11"/>
      <c r="N6" s="11"/>
      <c r="O6" s="11"/>
      <c r="P6" s="11"/>
      <c r="Q6" s="11"/>
      <c r="R6" s="11"/>
      <c r="S6" s="11"/>
      <c r="T6" s="11"/>
      <c r="U6" s="11"/>
      <c r="V6" s="11"/>
      <c r="W6" s="11"/>
      <c r="X6" s="11"/>
    </row>
    <row r="7">
      <c r="A7" s="37" t="s">
        <v>28</v>
      </c>
      <c r="B7" s="40">
        <v>0.0</v>
      </c>
      <c r="C7" s="48" t="s">
        <v>34</v>
      </c>
      <c r="D7" s="45">
        <v>5.0</v>
      </c>
      <c r="E7" s="6"/>
      <c r="F7" s="6"/>
      <c r="G7" s="6"/>
      <c r="H7" s="6"/>
      <c r="I7" s="11"/>
      <c r="J7" s="11"/>
      <c r="K7" s="11"/>
      <c r="L7" s="11"/>
      <c r="M7" s="11"/>
      <c r="N7" s="11"/>
      <c r="O7" s="11"/>
      <c r="P7" s="11"/>
      <c r="Q7" s="11"/>
      <c r="R7" s="11"/>
      <c r="S7" s="11"/>
      <c r="T7" s="11"/>
      <c r="U7" s="11"/>
      <c r="V7" s="11"/>
      <c r="W7" s="11"/>
      <c r="X7" s="11"/>
    </row>
    <row r="8">
      <c r="A8" s="51"/>
      <c r="B8" s="52"/>
      <c r="C8" s="52"/>
      <c r="D8" s="52"/>
      <c r="E8" s="6"/>
      <c r="F8" s="6"/>
      <c r="G8" s="6"/>
      <c r="H8" s="6"/>
      <c r="I8" s="53"/>
      <c r="J8" s="53"/>
      <c r="K8" s="11"/>
      <c r="L8" s="11"/>
      <c r="M8" s="11"/>
      <c r="N8" s="11"/>
      <c r="O8" s="11"/>
      <c r="P8" s="11"/>
      <c r="Q8" s="11"/>
      <c r="R8" s="11"/>
      <c r="S8" s="11"/>
      <c r="T8" s="11"/>
      <c r="U8" s="11"/>
      <c r="V8" s="11"/>
      <c r="W8" s="11"/>
      <c r="X8" s="11"/>
    </row>
    <row r="9">
      <c r="A9" s="54" t="s">
        <v>36</v>
      </c>
      <c r="B9" s="56" t="s">
        <v>38</v>
      </c>
      <c r="C9" s="54" t="s">
        <v>39</v>
      </c>
      <c r="D9" s="57" t="s">
        <v>40</v>
      </c>
      <c r="G9" s="54" t="s">
        <v>41</v>
      </c>
      <c r="H9" s="59" t="s">
        <v>42</v>
      </c>
      <c r="I9" s="59" t="s">
        <v>43</v>
      </c>
      <c r="J9" s="59" t="s">
        <v>44</v>
      </c>
      <c r="K9" s="11"/>
      <c r="L9" s="11"/>
      <c r="M9" s="11"/>
      <c r="N9" s="11"/>
      <c r="O9" s="11"/>
      <c r="P9" s="11"/>
      <c r="Q9" s="11"/>
      <c r="R9" s="11"/>
      <c r="S9" s="11"/>
      <c r="T9" s="11"/>
      <c r="U9" s="11"/>
      <c r="V9" s="11"/>
      <c r="W9" s="11"/>
      <c r="X9" s="11"/>
    </row>
    <row r="10">
      <c r="A10" s="63"/>
      <c r="B10" s="63"/>
      <c r="C10" s="63"/>
      <c r="D10" s="65"/>
      <c r="E10" s="14"/>
      <c r="F10" s="14"/>
      <c r="G10" s="63"/>
      <c r="H10" s="63"/>
      <c r="I10" s="63"/>
      <c r="J10" s="63"/>
      <c r="K10" s="11"/>
      <c r="L10" s="11"/>
      <c r="M10" s="11"/>
      <c r="N10" s="11"/>
      <c r="O10" s="11"/>
      <c r="P10" s="11"/>
      <c r="Q10" s="11"/>
      <c r="R10" s="11"/>
      <c r="S10" s="11"/>
      <c r="T10" s="11"/>
      <c r="U10" s="11"/>
      <c r="V10" s="11"/>
      <c r="W10" s="11"/>
      <c r="X10" s="11"/>
    </row>
    <row r="11">
      <c r="A11" s="69"/>
      <c r="B11" s="136"/>
      <c r="C11" s="23"/>
      <c r="D11" s="23"/>
      <c r="E11" s="23"/>
      <c r="F11" s="23"/>
      <c r="G11" s="23"/>
      <c r="H11" s="23"/>
      <c r="I11" s="23"/>
      <c r="J11" s="25"/>
      <c r="K11" s="11"/>
      <c r="L11" s="11"/>
      <c r="M11" s="11"/>
      <c r="N11" s="11"/>
      <c r="O11" s="11"/>
      <c r="P11" s="11"/>
      <c r="Q11" s="11"/>
      <c r="R11" s="11"/>
      <c r="S11" s="11"/>
      <c r="T11" s="11"/>
      <c r="U11" s="11"/>
      <c r="V11" s="11"/>
      <c r="W11" s="11"/>
      <c r="X11" s="11"/>
    </row>
    <row r="12">
      <c r="A12" s="74" t="s">
        <v>708</v>
      </c>
      <c r="B12" s="23"/>
      <c r="C12" s="23"/>
      <c r="D12" s="23"/>
      <c r="E12" s="23"/>
      <c r="F12" s="23"/>
      <c r="G12" s="23"/>
      <c r="H12" s="23"/>
      <c r="I12" s="23"/>
      <c r="J12" s="25"/>
      <c r="K12" s="11"/>
      <c r="L12" s="11"/>
      <c r="M12" s="11"/>
      <c r="N12" s="11"/>
      <c r="O12" s="11"/>
      <c r="P12" s="11"/>
      <c r="Q12" s="11"/>
      <c r="R12" s="11"/>
      <c r="S12" s="11"/>
      <c r="T12" s="11"/>
      <c r="U12" s="11"/>
      <c r="V12" s="11"/>
      <c r="W12" s="11"/>
      <c r="X12" s="11"/>
    </row>
    <row r="13" ht="155.25" customHeight="1">
      <c r="A13" s="76" t="s">
        <v>709</v>
      </c>
      <c r="B13" s="77" t="s">
        <v>710</v>
      </c>
      <c r="C13" s="79" t="s">
        <v>711</v>
      </c>
      <c r="D13" s="81" t="s">
        <v>712</v>
      </c>
      <c r="E13" s="23"/>
      <c r="F13" s="23"/>
      <c r="G13" s="85" t="s">
        <v>713</v>
      </c>
      <c r="H13" s="86">
        <v>46247.0</v>
      </c>
      <c r="I13" s="76" t="s">
        <v>26</v>
      </c>
      <c r="J13" s="79" t="s">
        <v>714</v>
      </c>
      <c r="K13" s="11"/>
      <c r="L13" s="11"/>
      <c r="M13" s="11"/>
      <c r="N13" s="11"/>
      <c r="O13" s="11"/>
      <c r="P13" s="11"/>
      <c r="Q13" s="11"/>
      <c r="R13" s="11"/>
      <c r="S13" s="11"/>
      <c r="T13" s="11"/>
      <c r="U13" s="11"/>
      <c r="V13" s="11"/>
      <c r="W13" s="11"/>
      <c r="X13" s="11"/>
    </row>
    <row r="14" ht="130.5" customHeight="1">
      <c r="A14" s="76" t="s">
        <v>715</v>
      </c>
      <c r="B14" s="77" t="s">
        <v>716</v>
      </c>
      <c r="C14" s="79" t="s">
        <v>717</v>
      </c>
      <c r="D14" s="81" t="s">
        <v>718</v>
      </c>
      <c r="E14" s="23"/>
      <c r="F14" s="23"/>
      <c r="G14" s="85" t="s">
        <v>719</v>
      </c>
      <c r="H14" s="86">
        <v>46247.0</v>
      </c>
      <c r="I14" s="76" t="s">
        <v>26</v>
      </c>
      <c r="J14" s="79" t="s">
        <v>720</v>
      </c>
      <c r="K14" s="11"/>
      <c r="L14" s="11"/>
      <c r="M14" s="11"/>
      <c r="N14" s="11"/>
      <c r="O14" s="11"/>
      <c r="P14" s="11"/>
      <c r="Q14" s="11"/>
      <c r="R14" s="11"/>
      <c r="S14" s="11"/>
      <c r="T14" s="11"/>
      <c r="U14" s="11"/>
      <c r="V14" s="11"/>
      <c r="W14" s="11"/>
      <c r="X14" s="11"/>
    </row>
    <row r="15" ht="130.5" customHeight="1">
      <c r="A15" s="76" t="s">
        <v>721</v>
      </c>
      <c r="B15" s="77" t="s">
        <v>722</v>
      </c>
      <c r="C15" s="79" t="s">
        <v>723</v>
      </c>
      <c r="D15" s="81" t="s">
        <v>724</v>
      </c>
      <c r="E15" s="23"/>
      <c r="F15" s="23"/>
      <c r="G15" s="85" t="s">
        <v>725</v>
      </c>
      <c r="H15" s="86">
        <v>46247.0</v>
      </c>
      <c r="I15" s="76" t="s">
        <v>26</v>
      </c>
      <c r="J15" s="79" t="s">
        <v>726</v>
      </c>
      <c r="K15" s="11"/>
      <c r="L15" s="11"/>
      <c r="M15" s="11"/>
      <c r="N15" s="11"/>
      <c r="O15" s="11"/>
      <c r="P15" s="11"/>
      <c r="Q15" s="11"/>
      <c r="R15" s="11"/>
      <c r="S15" s="11"/>
      <c r="T15" s="11"/>
      <c r="U15" s="11"/>
      <c r="V15" s="11"/>
      <c r="W15" s="11"/>
      <c r="X15" s="11"/>
    </row>
    <row r="16">
      <c r="A16" s="74" t="s">
        <v>727</v>
      </c>
      <c r="B16" s="23"/>
      <c r="C16" s="23"/>
      <c r="D16" s="23"/>
      <c r="E16" s="23"/>
      <c r="F16" s="23"/>
      <c r="G16" s="23"/>
      <c r="H16" s="23"/>
      <c r="I16" s="23"/>
      <c r="J16" s="25"/>
      <c r="K16" s="11"/>
      <c r="L16" s="11"/>
      <c r="M16" s="11"/>
      <c r="N16" s="11"/>
      <c r="O16" s="11"/>
      <c r="P16" s="11"/>
      <c r="Q16" s="11"/>
      <c r="R16" s="11"/>
      <c r="S16" s="11"/>
      <c r="T16" s="11"/>
      <c r="U16" s="11"/>
      <c r="V16" s="11"/>
      <c r="W16" s="11"/>
      <c r="X16" s="11"/>
    </row>
    <row r="17" ht="183.75" customHeight="1">
      <c r="A17" s="76" t="s">
        <v>728</v>
      </c>
      <c r="B17" s="77" t="s">
        <v>729</v>
      </c>
      <c r="C17" s="79" t="s">
        <v>730</v>
      </c>
      <c r="D17" s="81" t="s">
        <v>731</v>
      </c>
      <c r="E17" s="23"/>
      <c r="F17" s="23"/>
      <c r="G17" s="85" t="s">
        <v>732</v>
      </c>
      <c r="H17" s="86">
        <v>46247.0</v>
      </c>
      <c r="I17" s="76" t="s">
        <v>26</v>
      </c>
      <c r="J17" s="79" t="s">
        <v>733</v>
      </c>
      <c r="K17" s="11"/>
      <c r="L17" s="11"/>
      <c r="M17" s="11"/>
      <c r="N17" s="11"/>
      <c r="O17" s="11"/>
      <c r="P17" s="11"/>
      <c r="Q17" s="11"/>
      <c r="R17" s="11"/>
      <c r="S17" s="11"/>
      <c r="T17" s="11"/>
      <c r="U17" s="11"/>
      <c r="V17" s="11"/>
      <c r="W17" s="11"/>
      <c r="X17" s="11"/>
    </row>
    <row r="18" ht="183.75" customHeight="1">
      <c r="A18" s="76" t="s">
        <v>734</v>
      </c>
      <c r="B18" s="77" t="s">
        <v>735</v>
      </c>
      <c r="C18" s="79" t="s">
        <v>736</v>
      </c>
      <c r="D18" s="81" t="s">
        <v>737</v>
      </c>
      <c r="E18" s="23"/>
      <c r="F18" s="23"/>
      <c r="G18" s="85" t="s">
        <v>738</v>
      </c>
      <c r="H18" s="86">
        <v>46247.0</v>
      </c>
      <c r="I18" s="76" t="s">
        <v>26</v>
      </c>
      <c r="J18" s="79" t="s">
        <v>739</v>
      </c>
      <c r="K18" s="11"/>
      <c r="L18" s="11"/>
      <c r="M18" s="11"/>
      <c r="N18" s="11"/>
      <c r="O18" s="11"/>
      <c r="P18" s="11"/>
      <c r="Q18" s="11"/>
      <c r="R18" s="11"/>
      <c r="S18" s="11"/>
      <c r="T18" s="11"/>
      <c r="U18" s="11"/>
      <c r="V18" s="11"/>
      <c r="W18" s="11"/>
      <c r="X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row>
    <row r="21">
      <c r="K21" s="11"/>
      <c r="L21" s="11"/>
      <c r="M21" s="11"/>
      <c r="N21" s="11"/>
      <c r="O21" s="11"/>
      <c r="P21" s="11"/>
      <c r="Q21" s="11"/>
      <c r="R21" s="11"/>
      <c r="S21" s="11"/>
      <c r="T21" s="11"/>
      <c r="U21" s="11"/>
      <c r="V21" s="11"/>
      <c r="W21" s="11"/>
      <c r="X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row>
    <row r="29">
      <c r="A29" s="11"/>
      <c r="B29" s="11"/>
      <c r="C29" s="11"/>
      <c r="D29" s="11"/>
      <c r="E29" s="11"/>
      <c r="F29" s="11"/>
      <c r="G29" s="127"/>
      <c r="H29" s="11"/>
      <c r="I29" s="11"/>
      <c r="J29" s="11"/>
      <c r="K29" s="11"/>
      <c r="L29" s="11"/>
      <c r="M29" s="11"/>
      <c r="N29" s="11"/>
      <c r="O29" s="11"/>
      <c r="P29" s="11"/>
      <c r="Q29" s="11"/>
      <c r="R29" s="11"/>
      <c r="S29" s="11"/>
      <c r="T29" s="11"/>
      <c r="U29" s="11"/>
      <c r="V29" s="11"/>
      <c r="W29" s="11"/>
      <c r="X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row>
  </sheetData>
  <mergeCells count="20">
    <mergeCell ref="B1:D2"/>
    <mergeCell ref="B3:D3"/>
    <mergeCell ref="B4:D4"/>
    <mergeCell ref="B5:D5"/>
    <mergeCell ref="A9:A10"/>
    <mergeCell ref="B9:B10"/>
    <mergeCell ref="C9:C10"/>
    <mergeCell ref="D13:F13"/>
    <mergeCell ref="D14:F14"/>
    <mergeCell ref="D15:F15"/>
    <mergeCell ref="A16:J16"/>
    <mergeCell ref="D17:F17"/>
    <mergeCell ref="D18:F18"/>
    <mergeCell ref="D9:F10"/>
    <mergeCell ref="G9:G10"/>
    <mergeCell ref="H9:H10"/>
    <mergeCell ref="I9:I10"/>
    <mergeCell ref="J9:J10"/>
    <mergeCell ref="B11:J11"/>
    <mergeCell ref="A12:J12"/>
  </mergeCells>
  <hyperlinks>
    <hyperlink r:id="rId1" ref="G13"/>
    <hyperlink r:id="rId2" ref="G14"/>
    <hyperlink r:id="rId3" ref="G15"/>
    <hyperlink r:id="rId4" ref="G17"/>
    <hyperlink r:id="rId5" ref="G18"/>
  </hyperlinks>
  <drawing r:id="rId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 customWidth="1" min="11" max="12" width="19.88"/>
    <col customWidth="1" min="13" max="13" width="24.63"/>
  </cols>
  <sheetData>
    <row r="1">
      <c r="A1" s="4" t="s">
        <v>2</v>
      </c>
      <c r="B1" s="6"/>
      <c r="E1" s="6"/>
      <c r="F1" s="6"/>
      <c r="G1" s="6"/>
      <c r="H1" s="6"/>
      <c r="I1" s="6"/>
      <c r="J1" s="6"/>
      <c r="K1" s="11"/>
      <c r="L1" s="11"/>
      <c r="M1" s="11"/>
      <c r="N1" s="11"/>
      <c r="O1" s="11"/>
      <c r="P1" s="11"/>
      <c r="Q1" s="11"/>
      <c r="R1" s="11"/>
      <c r="S1" s="11"/>
      <c r="T1" s="11"/>
      <c r="U1" s="11"/>
      <c r="V1" s="11"/>
      <c r="W1" s="11"/>
      <c r="X1" s="11"/>
      <c r="Y1" s="11"/>
      <c r="Z1" s="11"/>
      <c r="AA1" s="11"/>
    </row>
    <row r="2">
      <c r="A2" s="6"/>
      <c r="B2" s="14"/>
      <c r="C2" s="14"/>
      <c r="D2" s="14"/>
      <c r="E2" s="6"/>
      <c r="F2" s="6"/>
      <c r="G2" s="6"/>
      <c r="H2" s="6"/>
      <c r="I2" s="6"/>
      <c r="J2" s="6"/>
      <c r="K2" s="11"/>
      <c r="L2" s="11"/>
      <c r="M2" s="11"/>
      <c r="N2" s="11"/>
      <c r="O2" s="11"/>
      <c r="P2" s="11"/>
      <c r="Q2" s="11"/>
      <c r="R2" s="11"/>
      <c r="S2" s="11"/>
      <c r="T2" s="11"/>
      <c r="U2" s="11"/>
      <c r="V2" s="11"/>
      <c r="W2" s="11"/>
      <c r="X2" s="11"/>
      <c r="Y2" s="11"/>
      <c r="Z2" s="11"/>
      <c r="AA2" s="11"/>
    </row>
    <row r="3">
      <c r="A3" s="18" t="s">
        <v>8</v>
      </c>
      <c r="B3" s="21" t="s">
        <v>10</v>
      </c>
      <c r="C3" s="23"/>
      <c r="D3" s="25"/>
      <c r="E3" s="6"/>
      <c r="F3" s="6"/>
      <c r="G3" s="6"/>
      <c r="H3" s="6"/>
      <c r="I3" s="11"/>
      <c r="J3" s="11"/>
      <c r="K3" s="11"/>
      <c r="L3" s="11"/>
      <c r="M3" s="11"/>
      <c r="N3" s="11"/>
      <c r="O3" s="11"/>
      <c r="P3" s="11"/>
      <c r="Q3" s="11"/>
      <c r="R3" s="11"/>
      <c r="S3" s="11"/>
      <c r="T3" s="11"/>
      <c r="U3" s="11"/>
      <c r="V3" s="11"/>
      <c r="W3" s="11"/>
      <c r="X3" s="11"/>
      <c r="Y3" s="11"/>
      <c r="Z3" s="11"/>
      <c r="AA3" s="11"/>
    </row>
    <row r="4">
      <c r="A4" s="18" t="s">
        <v>13</v>
      </c>
      <c r="B4" s="28" t="s">
        <v>740</v>
      </c>
      <c r="C4" s="23"/>
      <c r="D4" s="25"/>
      <c r="E4" s="6"/>
      <c r="F4" s="6"/>
      <c r="G4" s="6"/>
      <c r="H4" s="6"/>
      <c r="I4" s="11"/>
      <c r="J4" s="11"/>
      <c r="K4" s="11"/>
      <c r="L4" s="11"/>
      <c r="M4" s="11"/>
      <c r="N4" s="11"/>
      <c r="O4" s="11"/>
      <c r="P4" s="11"/>
      <c r="Q4" s="11"/>
      <c r="R4" s="11"/>
      <c r="S4" s="11"/>
      <c r="T4" s="11"/>
      <c r="U4" s="11"/>
      <c r="V4" s="11"/>
      <c r="W4" s="11"/>
      <c r="X4" s="11"/>
      <c r="Y4" s="11"/>
      <c r="Z4" s="11"/>
      <c r="AA4" s="11"/>
    </row>
    <row r="5">
      <c r="A5" s="18" t="s">
        <v>17</v>
      </c>
      <c r="B5" s="21" t="s">
        <v>741</v>
      </c>
      <c r="C5" s="23"/>
      <c r="D5" s="25"/>
      <c r="E5" s="6"/>
      <c r="F5" s="6"/>
      <c r="G5" s="6"/>
      <c r="H5" s="6"/>
      <c r="I5" s="11"/>
      <c r="J5" s="11"/>
      <c r="K5" s="11"/>
      <c r="L5" s="11"/>
      <c r="M5" s="11"/>
      <c r="N5" s="11"/>
      <c r="O5" s="11"/>
      <c r="P5" s="11"/>
      <c r="Q5" s="11"/>
      <c r="R5" s="11"/>
      <c r="S5" s="11"/>
      <c r="T5" s="11"/>
      <c r="U5" s="11"/>
      <c r="V5" s="11"/>
      <c r="W5" s="11"/>
      <c r="X5" s="11"/>
      <c r="Y5" s="11"/>
      <c r="Z5" s="11"/>
      <c r="AA5" s="11"/>
    </row>
    <row r="6">
      <c r="A6" s="37" t="s">
        <v>26</v>
      </c>
      <c r="B6" s="40">
        <v>4.0</v>
      </c>
      <c r="C6" s="43" t="s">
        <v>29</v>
      </c>
      <c r="D6" s="45">
        <v>0.0</v>
      </c>
      <c r="E6" s="6"/>
      <c r="F6" s="6"/>
      <c r="G6" s="6"/>
      <c r="H6" s="6"/>
      <c r="I6" s="11"/>
      <c r="J6" s="11"/>
      <c r="K6" s="11"/>
      <c r="L6" s="11"/>
      <c r="M6" s="11"/>
      <c r="N6" s="11"/>
      <c r="O6" s="11"/>
      <c r="P6" s="11"/>
      <c r="Q6" s="11"/>
      <c r="R6" s="11"/>
      <c r="S6" s="11"/>
      <c r="T6" s="11"/>
      <c r="U6" s="11"/>
      <c r="V6" s="11"/>
      <c r="W6" s="11"/>
      <c r="X6" s="11"/>
      <c r="Y6" s="11"/>
      <c r="Z6" s="11"/>
      <c r="AA6" s="11"/>
    </row>
    <row r="7">
      <c r="A7" s="37" t="s">
        <v>28</v>
      </c>
      <c r="B7" s="40">
        <v>5.0</v>
      </c>
      <c r="C7" s="48" t="s">
        <v>34</v>
      </c>
      <c r="D7" s="45">
        <v>9.0</v>
      </c>
      <c r="E7" s="6"/>
      <c r="F7" s="6"/>
      <c r="G7" s="6"/>
      <c r="H7" s="6"/>
      <c r="I7" s="11"/>
      <c r="J7" s="11"/>
      <c r="K7" s="11"/>
      <c r="L7" s="11"/>
      <c r="M7" s="11"/>
      <c r="N7" s="11"/>
      <c r="O7" s="11"/>
      <c r="P7" s="11"/>
      <c r="Q7" s="11"/>
      <c r="R7" s="11"/>
      <c r="S7" s="11"/>
      <c r="T7" s="11"/>
      <c r="U7" s="11"/>
      <c r="V7" s="11"/>
      <c r="W7" s="11"/>
      <c r="X7" s="11"/>
      <c r="Y7" s="11"/>
      <c r="Z7" s="11"/>
      <c r="AA7" s="11"/>
    </row>
    <row r="8">
      <c r="A8" s="51"/>
      <c r="B8" s="52"/>
      <c r="C8" s="52"/>
      <c r="D8" s="52"/>
      <c r="E8" s="6"/>
      <c r="F8" s="6"/>
      <c r="G8" s="6"/>
      <c r="H8" s="6"/>
      <c r="I8" s="53"/>
      <c r="J8" s="53"/>
      <c r="K8" s="11"/>
      <c r="L8" s="11"/>
      <c r="M8" s="11"/>
      <c r="N8" s="11"/>
      <c r="O8" s="11"/>
      <c r="P8" s="11"/>
      <c r="Q8" s="11"/>
      <c r="R8" s="11"/>
      <c r="S8" s="11"/>
      <c r="T8" s="11"/>
      <c r="U8" s="11"/>
      <c r="V8" s="11"/>
      <c r="W8" s="11"/>
      <c r="X8" s="11"/>
      <c r="Y8" s="11"/>
      <c r="Z8" s="11"/>
      <c r="AA8" s="11"/>
    </row>
    <row r="9">
      <c r="A9" s="54" t="s">
        <v>36</v>
      </c>
      <c r="B9" s="56" t="s">
        <v>38</v>
      </c>
      <c r="C9" s="54" t="s">
        <v>39</v>
      </c>
      <c r="D9" s="57" t="s">
        <v>40</v>
      </c>
      <c r="G9" s="54" t="s">
        <v>41</v>
      </c>
      <c r="H9" s="59" t="s">
        <v>42</v>
      </c>
      <c r="I9" s="59" t="s">
        <v>43</v>
      </c>
      <c r="J9" s="59" t="s">
        <v>44</v>
      </c>
      <c r="K9" s="61" t="s">
        <v>45</v>
      </c>
      <c r="L9" s="59" t="s">
        <v>47</v>
      </c>
      <c r="M9" s="59" t="s">
        <v>48</v>
      </c>
      <c r="N9" s="11"/>
      <c r="O9" s="11"/>
      <c r="P9" s="11"/>
      <c r="Q9" s="11"/>
      <c r="R9" s="11"/>
      <c r="S9" s="11"/>
      <c r="T9" s="11"/>
      <c r="U9" s="11"/>
      <c r="V9" s="11"/>
      <c r="W9" s="11"/>
      <c r="X9" s="11"/>
      <c r="Y9" s="11"/>
      <c r="Z9" s="11"/>
      <c r="AA9" s="11"/>
    </row>
    <row r="10">
      <c r="A10" s="63"/>
      <c r="B10" s="63"/>
      <c r="C10" s="63"/>
      <c r="D10" s="65"/>
      <c r="E10" s="14"/>
      <c r="F10" s="14"/>
      <c r="G10" s="63"/>
      <c r="H10" s="63"/>
      <c r="I10" s="63"/>
      <c r="J10" s="63"/>
      <c r="K10" s="63"/>
      <c r="L10" s="63"/>
      <c r="M10" s="63"/>
      <c r="N10" s="11"/>
      <c r="O10" s="11"/>
      <c r="P10" s="11"/>
      <c r="Q10" s="11"/>
      <c r="R10" s="11"/>
      <c r="S10" s="11"/>
      <c r="T10" s="11"/>
      <c r="U10" s="11"/>
      <c r="V10" s="11"/>
      <c r="W10" s="11"/>
      <c r="X10" s="11"/>
      <c r="Y10" s="11"/>
      <c r="Z10" s="11"/>
      <c r="AA10" s="11"/>
    </row>
    <row r="11">
      <c r="A11" s="69"/>
      <c r="B11" s="52"/>
      <c r="C11" s="23"/>
      <c r="D11" s="23"/>
      <c r="E11" s="23"/>
      <c r="F11" s="23"/>
      <c r="G11" s="23"/>
      <c r="H11" s="23"/>
      <c r="I11" s="23"/>
      <c r="J11" s="23"/>
      <c r="K11" s="23"/>
      <c r="L11" s="23"/>
      <c r="M11" s="23"/>
      <c r="N11" s="11"/>
      <c r="O11" s="11"/>
      <c r="P11" s="11"/>
      <c r="Q11" s="11"/>
      <c r="R11" s="11"/>
      <c r="S11" s="11"/>
      <c r="T11" s="11"/>
      <c r="U11" s="11"/>
      <c r="V11" s="11"/>
      <c r="W11" s="11"/>
      <c r="X11" s="11"/>
      <c r="Y11" s="11"/>
      <c r="Z11" s="11"/>
      <c r="AA11" s="11"/>
    </row>
    <row r="12">
      <c r="A12" s="74" t="s">
        <v>742</v>
      </c>
      <c r="B12" s="23"/>
      <c r="C12" s="23"/>
      <c r="D12" s="23"/>
      <c r="E12" s="23"/>
      <c r="F12" s="23"/>
      <c r="G12" s="23"/>
      <c r="H12" s="23"/>
      <c r="I12" s="23"/>
      <c r="J12" s="23"/>
      <c r="K12" s="23"/>
      <c r="L12" s="23"/>
      <c r="M12" s="25"/>
      <c r="N12" s="11"/>
      <c r="O12" s="11"/>
      <c r="P12" s="11"/>
      <c r="Q12" s="11"/>
      <c r="R12" s="11"/>
      <c r="S12" s="11"/>
      <c r="T12" s="11"/>
      <c r="U12" s="11"/>
      <c r="V12" s="11"/>
      <c r="W12" s="11"/>
      <c r="X12" s="11"/>
      <c r="Y12" s="11"/>
      <c r="Z12" s="11"/>
      <c r="AA12" s="11"/>
    </row>
    <row r="13" ht="138.75" customHeight="1">
      <c r="A13" s="76" t="s">
        <v>743</v>
      </c>
      <c r="B13" s="77" t="s">
        <v>744</v>
      </c>
      <c r="C13" s="79" t="s">
        <v>745</v>
      </c>
      <c r="D13" s="81" t="s">
        <v>746</v>
      </c>
      <c r="E13" s="23"/>
      <c r="F13" s="23"/>
      <c r="G13" s="85" t="s">
        <v>747</v>
      </c>
      <c r="H13" s="86">
        <v>46248.0</v>
      </c>
      <c r="I13" s="76" t="s">
        <v>26</v>
      </c>
      <c r="J13" s="79" t="s">
        <v>748</v>
      </c>
      <c r="K13" s="87"/>
      <c r="L13" s="87"/>
      <c r="M13" s="88"/>
      <c r="N13" s="11"/>
      <c r="O13" s="11"/>
      <c r="P13" s="11"/>
      <c r="Q13" s="11"/>
      <c r="R13" s="11"/>
      <c r="S13" s="11"/>
      <c r="T13" s="11"/>
      <c r="U13" s="11"/>
      <c r="V13" s="11"/>
      <c r="W13" s="11"/>
      <c r="X13" s="11"/>
      <c r="Y13" s="11"/>
      <c r="Z13" s="11"/>
      <c r="AA13" s="11"/>
    </row>
    <row r="14" ht="104.25" customHeight="1">
      <c r="A14" s="76" t="s">
        <v>749</v>
      </c>
      <c r="B14" s="77" t="s">
        <v>750</v>
      </c>
      <c r="C14" s="79" t="s">
        <v>751</v>
      </c>
      <c r="D14" s="81" t="s">
        <v>752</v>
      </c>
      <c r="E14" s="23"/>
      <c r="F14" s="23"/>
      <c r="G14" s="85" t="s">
        <v>753</v>
      </c>
      <c r="H14" s="86">
        <v>46248.0</v>
      </c>
      <c r="I14" s="76" t="s">
        <v>28</v>
      </c>
      <c r="J14" s="79" t="s">
        <v>754</v>
      </c>
      <c r="K14" s="86">
        <v>46248.0</v>
      </c>
      <c r="L14" s="76" t="s">
        <v>26</v>
      </c>
      <c r="M14" s="85" t="s">
        <v>755</v>
      </c>
      <c r="N14" s="11"/>
      <c r="O14" s="11"/>
      <c r="P14" s="11"/>
      <c r="Q14" s="11"/>
      <c r="R14" s="11"/>
      <c r="S14" s="11"/>
      <c r="T14" s="11"/>
      <c r="U14" s="11"/>
      <c r="V14" s="11"/>
      <c r="W14" s="11"/>
      <c r="X14" s="11"/>
      <c r="Y14" s="11"/>
      <c r="Z14" s="11"/>
      <c r="AA14" s="11"/>
    </row>
    <row r="15" ht="15.75" customHeight="1">
      <c r="A15" s="74" t="s">
        <v>756</v>
      </c>
      <c r="B15" s="23"/>
      <c r="C15" s="23"/>
      <c r="D15" s="23"/>
      <c r="E15" s="23"/>
      <c r="F15" s="23"/>
      <c r="G15" s="23"/>
      <c r="H15" s="23"/>
      <c r="I15" s="23"/>
      <c r="J15" s="23"/>
      <c r="K15" s="23"/>
      <c r="L15" s="23"/>
      <c r="M15" s="25"/>
      <c r="N15" s="11"/>
      <c r="O15" s="11"/>
      <c r="P15" s="11"/>
      <c r="Q15" s="11"/>
      <c r="R15" s="11"/>
      <c r="S15" s="11"/>
      <c r="T15" s="11"/>
      <c r="U15" s="11"/>
      <c r="V15" s="11"/>
      <c r="W15" s="11"/>
      <c r="X15" s="11"/>
      <c r="Y15" s="11"/>
      <c r="Z15" s="11"/>
      <c r="AA15" s="11"/>
    </row>
    <row r="16" ht="152.25" customHeight="1">
      <c r="A16" s="76" t="s">
        <v>757</v>
      </c>
      <c r="B16" s="77" t="s">
        <v>758</v>
      </c>
      <c r="C16" s="79" t="s">
        <v>759</v>
      </c>
      <c r="D16" s="81" t="s">
        <v>760</v>
      </c>
      <c r="E16" s="23"/>
      <c r="F16" s="23"/>
      <c r="G16" s="85" t="s">
        <v>761</v>
      </c>
      <c r="H16" s="86">
        <v>46248.0</v>
      </c>
      <c r="I16" s="76" t="s">
        <v>28</v>
      </c>
      <c r="J16" s="79" t="s">
        <v>762</v>
      </c>
      <c r="K16" s="86">
        <v>46248.0</v>
      </c>
      <c r="L16" s="76" t="s">
        <v>26</v>
      </c>
      <c r="M16" s="85" t="s">
        <v>763</v>
      </c>
      <c r="N16" s="11"/>
      <c r="O16" s="11"/>
      <c r="P16" s="11"/>
      <c r="Q16" s="11"/>
      <c r="R16" s="11"/>
      <c r="S16" s="11"/>
      <c r="T16" s="11"/>
      <c r="U16" s="11"/>
      <c r="V16" s="11"/>
      <c r="W16" s="11"/>
      <c r="X16" s="11"/>
      <c r="Y16" s="11"/>
      <c r="Z16" s="11"/>
      <c r="AA16" s="11"/>
    </row>
    <row r="17">
      <c r="A17" s="74" t="s">
        <v>764</v>
      </c>
      <c r="B17" s="23"/>
      <c r="C17" s="23"/>
      <c r="D17" s="23"/>
      <c r="E17" s="23"/>
      <c r="F17" s="23"/>
      <c r="G17" s="23"/>
      <c r="H17" s="23"/>
      <c r="I17" s="23"/>
      <c r="J17" s="23"/>
      <c r="K17" s="23"/>
      <c r="L17" s="23"/>
      <c r="M17" s="25"/>
      <c r="N17" s="11"/>
      <c r="O17" s="11"/>
      <c r="P17" s="11"/>
      <c r="Q17" s="11"/>
      <c r="R17" s="11"/>
      <c r="S17" s="11"/>
      <c r="T17" s="11"/>
      <c r="U17" s="11"/>
      <c r="V17" s="11"/>
      <c r="W17" s="11"/>
      <c r="X17" s="11"/>
      <c r="Y17" s="11"/>
      <c r="Z17" s="11"/>
      <c r="AA17" s="11"/>
    </row>
    <row r="18" ht="141.75" customHeight="1">
      <c r="A18" s="76" t="s">
        <v>765</v>
      </c>
      <c r="B18" s="77" t="s">
        <v>766</v>
      </c>
      <c r="C18" s="79" t="s">
        <v>767</v>
      </c>
      <c r="D18" s="81" t="s">
        <v>768</v>
      </c>
      <c r="E18" s="23"/>
      <c r="F18" s="23"/>
      <c r="G18" s="85" t="s">
        <v>769</v>
      </c>
      <c r="H18" s="86">
        <v>46248.0</v>
      </c>
      <c r="I18" s="76" t="s">
        <v>26</v>
      </c>
      <c r="J18" s="79" t="s">
        <v>770</v>
      </c>
      <c r="K18" s="86"/>
      <c r="L18" s="76"/>
      <c r="M18" s="79"/>
      <c r="N18" s="11"/>
      <c r="O18" s="11"/>
      <c r="P18" s="11"/>
      <c r="Q18" s="11"/>
      <c r="R18" s="11"/>
      <c r="S18" s="11"/>
      <c r="T18" s="11"/>
      <c r="U18" s="11"/>
      <c r="V18" s="11"/>
      <c r="W18" s="11"/>
      <c r="X18" s="11"/>
      <c r="Y18" s="11"/>
      <c r="Z18" s="11"/>
      <c r="AA18" s="11"/>
    </row>
    <row r="19" ht="192.75" customHeight="1">
      <c r="A19" s="76" t="s">
        <v>771</v>
      </c>
      <c r="B19" s="77" t="s">
        <v>772</v>
      </c>
      <c r="C19" s="79" t="s">
        <v>773</v>
      </c>
      <c r="D19" s="81" t="s">
        <v>774</v>
      </c>
      <c r="E19" s="23"/>
      <c r="F19" s="23"/>
      <c r="G19" s="85" t="s">
        <v>775</v>
      </c>
      <c r="H19" s="86">
        <v>46248.0</v>
      </c>
      <c r="I19" s="76" t="s">
        <v>26</v>
      </c>
      <c r="J19" s="79" t="s">
        <v>776</v>
      </c>
      <c r="K19" s="86"/>
      <c r="L19" s="76"/>
      <c r="M19" s="79"/>
      <c r="N19" s="11"/>
      <c r="O19" s="11"/>
      <c r="P19" s="11"/>
      <c r="Q19" s="11"/>
      <c r="R19" s="11"/>
      <c r="S19" s="11"/>
      <c r="T19" s="11"/>
      <c r="U19" s="11"/>
      <c r="V19" s="11"/>
      <c r="W19" s="11"/>
      <c r="X19" s="11"/>
      <c r="Y19" s="11"/>
      <c r="Z19" s="11"/>
      <c r="AA19" s="11"/>
    </row>
    <row r="20" ht="14.25" customHeight="1">
      <c r="A20" s="74" t="s">
        <v>777</v>
      </c>
      <c r="B20" s="23"/>
      <c r="C20" s="23"/>
      <c r="D20" s="23"/>
      <c r="E20" s="23"/>
      <c r="F20" s="23"/>
      <c r="G20" s="23"/>
      <c r="H20" s="23"/>
      <c r="I20" s="23"/>
      <c r="J20" s="23"/>
      <c r="K20" s="23"/>
      <c r="L20" s="23"/>
      <c r="M20" s="25"/>
      <c r="N20" s="11"/>
      <c r="O20" s="11"/>
      <c r="P20" s="11"/>
      <c r="Q20" s="11"/>
      <c r="R20" s="11"/>
      <c r="S20" s="11"/>
      <c r="T20" s="11"/>
      <c r="U20" s="11"/>
      <c r="V20" s="11"/>
      <c r="W20" s="11"/>
      <c r="X20" s="11"/>
      <c r="Y20" s="11"/>
      <c r="Z20" s="11"/>
      <c r="AA20" s="11"/>
    </row>
    <row r="21" ht="162.75" customHeight="1">
      <c r="A21" s="76" t="s">
        <v>779</v>
      </c>
      <c r="B21" s="77" t="s">
        <v>780</v>
      </c>
      <c r="C21" s="79" t="s">
        <v>781</v>
      </c>
      <c r="D21" s="81" t="s">
        <v>782</v>
      </c>
      <c r="E21" s="23"/>
      <c r="F21" s="23"/>
      <c r="G21" s="85" t="s">
        <v>783</v>
      </c>
      <c r="H21" s="86">
        <v>46248.0</v>
      </c>
      <c r="I21" s="76" t="s">
        <v>28</v>
      </c>
      <c r="J21" s="79" t="s">
        <v>785</v>
      </c>
      <c r="K21" s="86">
        <v>46249.0</v>
      </c>
      <c r="L21" s="76" t="s">
        <v>26</v>
      </c>
      <c r="M21" s="85" t="s">
        <v>786</v>
      </c>
      <c r="N21" s="11"/>
      <c r="O21" s="11"/>
      <c r="P21" s="11"/>
      <c r="Q21" s="11"/>
      <c r="R21" s="11"/>
      <c r="S21" s="11"/>
      <c r="T21" s="11"/>
      <c r="U21" s="11"/>
      <c r="V21" s="11"/>
      <c r="W21" s="11"/>
      <c r="X21" s="11"/>
      <c r="Y21" s="11"/>
      <c r="Z21" s="11"/>
      <c r="AA21" s="11"/>
    </row>
    <row r="22" ht="13.5" customHeight="1">
      <c r="A22" s="74" t="s">
        <v>787</v>
      </c>
      <c r="B22" s="23"/>
      <c r="C22" s="23"/>
      <c r="D22" s="23"/>
      <c r="E22" s="23"/>
      <c r="F22" s="23"/>
      <c r="G22" s="23"/>
      <c r="H22" s="23"/>
      <c r="I22" s="23"/>
      <c r="J22" s="23"/>
      <c r="K22" s="23"/>
      <c r="L22" s="23"/>
      <c r="M22" s="25"/>
      <c r="N22" s="135"/>
      <c r="AA22" s="11"/>
    </row>
    <row r="23" ht="155.25" customHeight="1">
      <c r="A23" s="76" t="s">
        <v>788</v>
      </c>
      <c r="B23" s="77" t="s">
        <v>789</v>
      </c>
      <c r="C23" s="79" t="s">
        <v>790</v>
      </c>
      <c r="D23" s="81" t="s">
        <v>791</v>
      </c>
      <c r="E23" s="23"/>
      <c r="F23" s="23"/>
      <c r="G23" s="129" t="s">
        <v>792</v>
      </c>
      <c r="H23" s="86">
        <v>46248.0</v>
      </c>
      <c r="I23" s="76" t="s">
        <v>28</v>
      </c>
      <c r="J23" s="79" t="s">
        <v>793</v>
      </c>
      <c r="K23" s="86">
        <v>46249.0</v>
      </c>
      <c r="L23" s="76" t="s">
        <v>26</v>
      </c>
      <c r="M23" s="85" t="s">
        <v>795</v>
      </c>
      <c r="N23" s="11"/>
      <c r="O23" s="11"/>
      <c r="P23" s="11"/>
      <c r="Q23" s="11"/>
      <c r="R23" s="11"/>
      <c r="S23" s="11"/>
      <c r="T23" s="11"/>
      <c r="U23" s="11"/>
      <c r="V23" s="11"/>
      <c r="W23" s="11"/>
      <c r="X23" s="11"/>
      <c r="Y23" s="11"/>
      <c r="Z23" s="11"/>
      <c r="AA23" s="11"/>
    </row>
    <row r="24">
      <c r="A24" s="74" t="s">
        <v>801</v>
      </c>
      <c r="B24" s="23"/>
      <c r="C24" s="23"/>
      <c r="D24" s="23"/>
      <c r="E24" s="23"/>
      <c r="F24" s="23"/>
      <c r="G24" s="23"/>
      <c r="H24" s="23"/>
      <c r="I24" s="23"/>
      <c r="J24" s="23"/>
      <c r="K24" s="23"/>
      <c r="L24" s="23"/>
      <c r="M24" s="25"/>
      <c r="N24" s="137"/>
      <c r="AA24" s="11"/>
    </row>
    <row r="25" ht="165.0" customHeight="1">
      <c r="A25" s="76" t="s">
        <v>802</v>
      </c>
      <c r="B25" s="77" t="s">
        <v>803</v>
      </c>
      <c r="C25" s="79" t="s">
        <v>804</v>
      </c>
      <c r="D25" s="81" t="s">
        <v>805</v>
      </c>
      <c r="E25" s="23"/>
      <c r="F25" s="23"/>
      <c r="G25" s="85" t="s">
        <v>806</v>
      </c>
      <c r="H25" s="86">
        <v>46248.0</v>
      </c>
      <c r="I25" s="76" t="s">
        <v>26</v>
      </c>
      <c r="J25" s="79" t="s">
        <v>813</v>
      </c>
      <c r="K25" s="86"/>
      <c r="L25" s="76"/>
      <c r="M25" s="79"/>
      <c r="N25" s="11"/>
      <c r="O25" s="11"/>
      <c r="P25" s="11"/>
      <c r="Q25" s="11"/>
      <c r="R25" s="11"/>
      <c r="S25" s="11"/>
      <c r="T25" s="11"/>
      <c r="U25" s="11"/>
      <c r="V25" s="11"/>
      <c r="W25" s="11"/>
      <c r="X25" s="11"/>
      <c r="Y25" s="11"/>
      <c r="Z25" s="11"/>
      <c r="AA25" s="11"/>
    </row>
    <row r="26" ht="174.0" customHeight="1">
      <c r="A26" s="76" t="s">
        <v>814</v>
      </c>
      <c r="B26" s="77" t="s">
        <v>815</v>
      </c>
      <c r="C26" s="79" t="s">
        <v>816</v>
      </c>
      <c r="D26" s="81" t="s">
        <v>817</v>
      </c>
      <c r="E26" s="23"/>
      <c r="F26" s="23"/>
      <c r="G26" s="138" t="s">
        <v>818</v>
      </c>
      <c r="H26" s="139" t="s">
        <v>825</v>
      </c>
      <c r="I26" s="76" t="s">
        <v>28</v>
      </c>
      <c r="J26" s="79" t="s">
        <v>826</v>
      </c>
      <c r="K26" s="86"/>
      <c r="L26" s="76"/>
      <c r="M26" s="126"/>
      <c r="N26" s="11"/>
      <c r="O26" s="11"/>
      <c r="P26" s="11"/>
      <c r="Q26" s="11"/>
      <c r="R26" s="11"/>
      <c r="S26" s="11"/>
      <c r="T26" s="11"/>
      <c r="U26" s="11"/>
      <c r="V26" s="11"/>
      <c r="W26" s="11"/>
      <c r="X26" s="11"/>
      <c r="Y26" s="11"/>
      <c r="Z26" s="11"/>
      <c r="AA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row>
    <row r="37">
      <c r="A37" s="11"/>
      <c r="B37" s="11"/>
      <c r="C37" s="11"/>
      <c r="D37" s="11"/>
      <c r="E37" s="11"/>
      <c r="F37" s="11"/>
      <c r="G37" s="127"/>
      <c r="H37" s="11"/>
      <c r="I37" s="11"/>
      <c r="J37" s="11"/>
      <c r="K37" s="11"/>
      <c r="L37" s="11"/>
      <c r="M37" s="11"/>
      <c r="N37" s="11"/>
      <c r="O37" s="11"/>
      <c r="P37" s="11"/>
      <c r="Q37" s="11"/>
      <c r="R37" s="11"/>
      <c r="S37" s="11"/>
      <c r="T37" s="11"/>
      <c r="U37" s="11"/>
      <c r="V37" s="11"/>
      <c r="W37" s="11"/>
      <c r="X37" s="11"/>
      <c r="Y37" s="11"/>
      <c r="Z37" s="11"/>
      <c r="AA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row>
  </sheetData>
  <mergeCells count="33">
    <mergeCell ref="B1:D2"/>
    <mergeCell ref="B3:D3"/>
    <mergeCell ref="B4:D4"/>
    <mergeCell ref="B5:D5"/>
    <mergeCell ref="A9:A10"/>
    <mergeCell ref="B9:B10"/>
    <mergeCell ref="C9:C10"/>
    <mergeCell ref="G9:G10"/>
    <mergeCell ref="H9:H10"/>
    <mergeCell ref="I9:I10"/>
    <mergeCell ref="J9:J10"/>
    <mergeCell ref="K9:K10"/>
    <mergeCell ref="L9:L10"/>
    <mergeCell ref="M9:M10"/>
    <mergeCell ref="D16:F16"/>
    <mergeCell ref="D18:F18"/>
    <mergeCell ref="D19:F19"/>
    <mergeCell ref="D21:F21"/>
    <mergeCell ref="D23:F23"/>
    <mergeCell ref="D25:F25"/>
    <mergeCell ref="D26:F26"/>
    <mergeCell ref="A20:M20"/>
    <mergeCell ref="A22:M22"/>
    <mergeCell ref="N22:Z22"/>
    <mergeCell ref="A24:M24"/>
    <mergeCell ref="N24:Z24"/>
    <mergeCell ref="D9:F10"/>
    <mergeCell ref="B11:M11"/>
    <mergeCell ref="A12:M12"/>
    <mergeCell ref="D13:F13"/>
    <mergeCell ref="D14:F14"/>
    <mergeCell ref="A15:M15"/>
    <mergeCell ref="A17:M17"/>
  </mergeCells>
  <hyperlinks>
    <hyperlink r:id="rId1" ref="G13"/>
    <hyperlink r:id="rId2" ref="G14"/>
    <hyperlink r:id="rId3" ref="M14"/>
    <hyperlink r:id="rId4" ref="G16"/>
    <hyperlink r:id="rId5" ref="M16"/>
    <hyperlink r:id="rId6" ref="G18"/>
    <hyperlink r:id="rId7" ref="G19"/>
    <hyperlink r:id="rId8" ref="G21"/>
    <hyperlink r:id="rId9" ref="M21"/>
    <hyperlink r:id="rId10" ref="G23"/>
    <hyperlink r:id="rId11" ref="M23"/>
    <hyperlink r:id="rId12" ref="G25"/>
    <hyperlink r:id="rId13" ref="G26"/>
  </hyperlinks>
  <drawing r:id="rId1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9.13"/>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4" t="s">
        <v>2</v>
      </c>
      <c r="B1" s="6"/>
      <c r="E1" s="6"/>
      <c r="F1" s="6"/>
      <c r="G1" s="6"/>
      <c r="H1" s="6"/>
      <c r="I1" s="6"/>
      <c r="J1" s="6"/>
      <c r="K1" s="11"/>
      <c r="L1" s="11"/>
      <c r="M1" s="11"/>
      <c r="N1" s="11"/>
      <c r="O1" s="11"/>
      <c r="P1" s="11"/>
      <c r="Q1" s="11"/>
      <c r="R1" s="11"/>
      <c r="S1" s="11"/>
      <c r="T1" s="11"/>
      <c r="U1" s="11"/>
      <c r="V1" s="11"/>
      <c r="W1" s="11"/>
      <c r="X1" s="11"/>
    </row>
    <row r="2">
      <c r="A2" s="6"/>
      <c r="B2" s="14"/>
      <c r="C2" s="14"/>
      <c r="D2" s="14"/>
      <c r="E2" s="6"/>
      <c r="F2" s="6"/>
      <c r="G2" s="6"/>
      <c r="H2" s="6"/>
      <c r="I2" s="6"/>
      <c r="J2" s="6"/>
      <c r="K2" s="11"/>
      <c r="L2" s="11"/>
      <c r="M2" s="11"/>
      <c r="N2" s="11"/>
      <c r="O2" s="11"/>
      <c r="P2" s="11"/>
      <c r="Q2" s="11"/>
      <c r="R2" s="11"/>
      <c r="S2" s="11"/>
      <c r="T2" s="11"/>
      <c r="U2" s="11"/>
      <c r="V2" s="11"/>
      <c r="W2" s="11"/>
      <c r="X2" s="11"/>
    </row>
    <row r="3">
      <c r="A3" s="18" t="s">
        <v>8</v>
      </c>
      <c r="B3" s="21" t="s">
        <v>10</v>
      </c>
      <c r="C3" s="23"/>
      <c r="D3" s="25"/>
      <c r="E3" s="6"/>
      <c r="F3" s="6"/>
      <c r="G3" s="6"/>
      <c r="H3" s="6"/>
      <c r="I3" s="11"/>
      <c r="J3" s="11"/>
      <c r="K3" s="11"/>
      <c r="L3" s="11"/>
      <c r="M3" s="11"/>
      <c r="N3" s="11"/>
      <c r="O3" s="11"/>
      <c r="P3" s="11"/>
      <c r="Q3" s="11"/>
      <c r="R3" s="11"/>
      <c r="S3" s="11"/>
      <c r="T3" s="11"/>
      <c r="U3" s="11"/>
      <c r="V3" s="11"/>
      <c r="W3" s="11"/>
      <c r="X3" s="11"/>
    </row>
    <row r="4">
      <c r="A4" s="18" t="s">
        <v>13</v>
      </c>
      <c r="B4" s="28" t="s">
        <v>778</v>
      </c>
      <c r="C4" s="23"/>
      <c r="D4" s="25"/>
      <c r="E4" s="6"/>
      <c r="F4" s="6"/>
      <c r="G4" s="6"/>
      <c r="H4" s="6"/>
      <c r="I4" s="11"/>
      <c r="J4" s="11"/>
      <c r="K4" s="11"/>
      <c r="L4" s="11"/>
      <c r="M4" s="11"/>
      <c r="N4" s="11"/>
      <c r="O4" s="11"/>
      <c r="P4" s="11"/>
      <c r="Q4" s="11"/>
      <c r="R4" s="11"/>
      <c r="S4" s="11"/>
      <c r="T4" s="11"/>
      <c r="U4" s="11"/>
      <c r="V4" s="11"/>
      <c r="W4" s="11"/>
      <c r="X4" s="11"/>
    </row>
    <row r="5">
      <c r="A5" s="18" t="s">
        <v>17</v>
      </c>
      <c r="B5" s="21" t="s">
        <v>784</v>
      </c>
      <c r="C5" s="23"/>
      <c r="D5" s="25"/>
      <c r="E5" s="6"/>
      <c r="F5" s="6"/>
      <c r="G5" s="6"/>
      <c r="H5" s="6"/>
      <c r="I5" s="11"/>
      <c r="J5" s="11"/>
      <c r="K5" s="11"/>
      <c r="L5" s="11"/>
      <c r="M5" s="11"/>
      <c r="N5" s="11"/>
      <c r="O5" s="11"/>
      <c r="P5" s="11"/>
      <c r="Q5" s="11"/>
      <c r="R5" s="11"/>
      <c r="S5" s="11"/>
      <c r="T5" s="11"/>
      <c r="U5" s="11"/>
      <c r="V5" s="11"/>
      <c r="W5" s="11"/>
      <c r="X5" s="11"/>
    </row>
    <row r="6">
      <c r="A6" s="37" t="s">
        <v>26</v>
      </c>
      <c r="B6" s="40">
        <v>4.0</v>
      </c>
      <c r="C6" s="43" t="s">
        <v>29</v>
      </c>
      <c r="D6" s="45">
        <v>0.0</v>
      </c>
      <c r="E6" s="6"/>
      <c r="F6" s="6"/>
      <c r="G6" s="6"/>
      <c r="H6" s="6"/>
      <c r="I6" s="11"/>
      <c r="J6" s="11"/>
      <c r="K6" s="11"/>
      <c r="L6" s="11"/>
      <c r="M6" s="11"/>
      <c r="N6" s="11"/>
      <c r="O6" s="11"/>
      <c r="P6" s="11"/>
      <c r="Q6" s="11"/>
      <c r="R6" s="11"/>
      <c r="S6" s="11"/>
      <c r="T6" s="11"/>
      <c r="U6" s="11"/>
      <c r="V6" s="11"/>
      <c r="W6" s="11"/>
      <c r="X6" s="11"/>
    </row>
    <row r="7">
      <c r="A7" s="37" t="s">
        <v>28</v>
      </c>
      <c r="B7" s="40">
        <v>0.0</v>
      </c>
      <c r="C7" s="48" t="s">
        <v>34</v>
      </c>
      <c r="D7" s="45">
        <v>4.0</v>
      </c>
      <c r="E7" s="6"/>
      <c r="F7" s="6"/>
      <c r="G7" s="6"/>
      <c r="H7" s="6"/>
      <c r="I7" s="11"/>
      <c r="J7" s="11"/>
      <c r="K7" s="11"/>
      <c r="L7" s="11"/>
      <c r="M7" s="11"/>
      <c r="N7" s="11"/>
      <c r="O7" s="11"/>
      <c r="P7" s="11"/>
      <c r="Q7" s="11"/>
      <c r="R7" s="11"/>
      <c r="S7" s="11"/>
      <c r="T7" s="11"/>
      <c r="U7" s="11"/>
      <c r="V7" s="11"/>
      <c r="W7" s="11"/>
      <c r="X7" s="11"/>
    </row>
    <row r="8">
      <c r="A8" s="51"/>
      <c r="B8" s="52"/>
      <c r="C8" s="52"/>
      <c r="D8" s="52"/>
      <c r="E8" s="6"/>
      <c r="F8" s="6"/>
      <c r="G8" s="6"/>
      <c r="H8" s="6"/>
      <c r="I8" s="53"/>
      <c r="J8" s="53"/>
      <c r="K8" s="11"/>
      <c r="L8" s="11"/>
      <c r="M8" s="11"/>
      <c r="N8" s="11"/>
      <c r="O8" s="11"/>
      <c r="P8" s="11"/>
      <c r="Q8" s="11"/>
      <c r="R8" s="11"/>
      <c r="S8" s="11"/>
      <c r="T8" s="11"/>
      <c r="U8" s="11"/>
      <c r="V8" s="11"/>
      <c r="W8" s="11"/>
      <c r="X8" s="11"/>
    </row>
    <row r="9">
      <c r="A9" s="54" t="s">
        <v>36</v>
      </c>
      <c r="B9" s="56" t="s">
        <v>38</v>
      </c>
      <c r="C9" s="54" t="s">
        <v>39</v>
      </c>
      <c r="D9" s="57" t="s">
        <v>40</v>
      </c>
      <c r="G9" s="54" t="s">
        <v>41</v>
      </c>
      <c r="H9" s="59" t="s">
        <v>42</v>
      </c>
      <c r="I9" s="59" t="s">
        <v>43</v>
      </c>
      <c r="J9" s="59" t="s">
        <v>44</v>
      </c>
      <c r="K9" s="11"/>
      <c r="L9" s="11"/>
      <c r="M9" s="11"/>
      <c r="N9" s="11"/>
      <c r="O9" s="11"/>
      <c r="P9" s="11"/>
      <c r="Q9" s="11"/>
      <c r="R9" s="11"/>
      <c r="S9" s="11"/>
      <c r="T9" s="11"/>
      <c r="U9" s="11"/>
      <c r="V9" s="11"/>
      <c r="W9" s="11"/>
      <c r="X9" s="11"/>
    </row>
    <row r="10">
      <c r="A10" s="63"/>
      <c r="B10" s="63"/>
      <c r="C10" s="63"/>
      <c r="D10" s="65"/>
      <c r="E10" s="14"/>
      <c r="F10" s="14"/>
      <c r="G10" s="63"/>
      <c r="H10" s="63"/>
      <c r="I10" s="63"/>
      <c r="J10" s="63"/>
      <c r="K10" s="11"/>
      <c r="L10" s="11"/>
      <c r="M10" s="11"/>
      <c r="N10" s="11"/>
      <c r="O10" s="11"/>
      <c r="P10" s="11"/>
      <c r="Q10" s="11"/>
      <c r="R10" s="11"/>
      <c r="S10" s="11"/>
      <c r="T10" s="11"/>
      <c r="U10" s="11"/>
      <c r="V10" s="11"/>
      <c r="W10" s="11"/>
      <c r="X10" s="11"/>
    </row>
    <row r="11">
      <c r="A11" s="69"/>
      <c r="B11" s="136"/>
      <c r="C11" s="23"/>
      <c r="D11" s="23"/>
      <c r="E11" s="23"/>
      <c r="F11" s="23"/>
      <c r="G11" s="23"/>
      <c r="H11" s="23"/>
      <c r="I11" s="23"/>
      <c r="J11" s="25"/>
      <c r="K11" s="11"/>
      <c r="L11" s="11"/>
      <c r="M11" s="11"/>
      <c r="N11" s="11"/>
      <c r="O11" s="11"/>
      <c r="P11" s="11"/>
      <c r="Q11" s="11"/>
      <c r="R11" s="11"/>
      <c r="S11" s="11"/>
      <c r="T11" s="11"/>
      <c r="U11" s="11"/>
      <c r="V11" s="11"/>
      <c r="W11" s="11"/>
      <c r="X11" s="11"/>
    </row>
    <row r="12">
      <c r="A12" s="74" t="s">
        <v>794</v>
      </c>
      <c r="B12" s="23"/>
      <c r="C12" s="23"/>
      <c r="D12" s="23"/>
      <c r="E12" s="23"/>
      <c r="F12" s="23"/>
      <c r="G12" s="23"/>
      <c r="H12" s="23"/>
      <c r="I12" s="23"/>
      <c r="J12" s="25"/>
      <c r="K12" s="11"/>
      <c r="L12" s="11"/>
      <c r="M12" s="11"/>
      <c r="N12" s="11"/>
      <c r="O12" s="11"/>
      <c r="P12" s="11"/>
      <c r="Q12" s="11"/>
      <c r="R12" s="11"/>
      <c r="S12" s="11"/>
      <c r="T12" s="11"/>
      <c r="U12" s="11"/>
      <c r="V12" s="11"/>
      <c r="W12" s="11"/>
      <c r="X12" s="11"/>
    </row>
    <row r="13" ht="91.5" customHeight="1">
      <c r="A13" s="76" t="s">
        <v>796</v>
      </c>
      <c r="B13" s="77" t="s">
        <v>797</v>
      </c>
      <c r="C13" s="79" t="s">
        <v>798</v>
      </c>
      <c r="D13" s="81" t="s">
        <v>799</v>
      </c>
      <c r="E13" s="23"/>
      <c r="F13" s="23"/>
      <c r="G13" s="85" t="s">
        <v>800</v>
      </c>
      <c r="H13" s="86">
        <v>46252.0</v>
      </c>
      <c r="I13" s="76" t="s">
        <v>26</v>
      </c>
      <c r="J13" s="79" t="s">
        <v>807</v>
      </c>
      <c r="K13" s="11"/>
      <c r="L13" s="11"/>
      <c r="M13" s="11"/>
      <c r="N13" s="11"/>
      <c r="O13" s="11"/>
      <c r="P13" s="11"/>
      <c r="Q13" s="11"/>
      <c r="R13" s="11"/>
      <c r="S13" s="11"/>
      <c r="T13" s="11"/>
      <c r="U13" s="11"/>
      <c r="V13" s="11"/>
      <c r="W13" s="11"/>
      <c r="X13" s="11"/>
    </row>
    <row r="14" ht="74.25" customHeight="1">
      <c r="A14" s="76" t="s">
        <v>808</v>
      </c>
      <c r="B14" s="77" t="s">
        <v>809</v>
      </c>
      <c r="C14" s="79" t="s">
        <v>810</v>
      </c>
      <c r="D14" s="81" t="s">
        <v>811</v>
      </c>
      <c r="E14" s="23"/>
      <c r="F14" s="23"/>
      <c r="G14" s="85" t="s">
        <v>812</v>
      </c>
      <c r="H14" s="86">
        <v>46252.0</v>
      </c>
      <c r="I14" s="76" t="s">
        <v>26</v>
      </c>
      <c r="J14" s="79" t="s">
        <v>819</v>
      </c>
      <c r="K14" s="11"/>
      <c r="L14" s="11"/>
      <c r="M14" s="11"/>
      <c r="N14" s="11"/>
      <c r="O14" s="11"/>
      <c r="P14" s="11"/>
      <c r="Q14" s="11"/>
      <c r="R14" s="11"/>
      <c r="S14" s="11"/>
      <c r="T14" s="11"/>
      <c r="U14" s="11"/>
      <c r="V14" s="11"/>
      <c r="W14" s="11"/>
      <c r="X14" s="11"/>
    </row>
    <row r="15" ht="81.75" customHeight="1">
      <c r="A15" s="76" t="s">
        <v>820</v>
      </c>
      <c r="B15" s="77" t="s">
        <v>821</v>
      </c>
      <c r="C15" s="79" t="s">
        <v>822</v>
      </c>
      <c r="D15" s="81" t="s">
        <v>823</v>
      </c>
      <c r="E15" s="23"/>
      <c r="F15" s="23"/>
      <c r="G15" s="85" t="s">
        <v>824</v>
      </c>
      <c r="H15" s="86">
        <v>46252.0</v>
      </c>
      <c r="I15" s="76" t="s">
        <v>26</v>
      </c>
      <c r="J15" s="79" t="s">
        <v>819</v>
      </c>
      <c r="K15" s="11"/>
      <c r="L15" s="11"/>
      <c r="M15" s="11"/>
      <c r="N15" s="11"/>
      <c r="O15" s="11"/>
      <c r="P15" s="11"/>
      <c r="Q15" s="11"/>
      <c r="R15" s="11"/>
      <c r="S15" s="11"/>
      <c r="T15" s="11"/>
      <c r="U15" s="11"/>
      <c r="V15" s="11"/>
      <c r="W15" s="11"/>
      <c r="X15" s="11"/>
    </row>
    <row r="16" ht="87.0" customHeight="1">
      <c r="A16" s="76" t="s">
        <v>827</v>
      </c>
      <c r="B16" s="77" t="s">
        <v>828</v>
      </c>
      <c r="C16" s="79" t="s">
        <v>829</v>
      </c>
      <c r="D16" s="81" t="s">
        <v>830</v>
      </c>
      <c r="E16" s="23"/>
      <c r="F16" s="23"/>
      <c r="G16" s="85" t="s">
        <v>831</v>
      </c>
      <c r="H16" s="86">
        <v>46252.0</v>
      </c>
      <c r="I16" s="76" t="s">
        <v>26</v>
      </c>
      <c r="J16" s="79" t="s">
        <v>832</v>
      </c>
      <c r="K16" s="11"/>
      <c r="L16" s="11"/>
      <c r="M16" s="11"/>
      <c r="N16" s="11"/>
      <c r="O16" s="11"/>
      <c r="P16" s="11"/>
      <c r="Q16" s="11"/>
      <c r="R16" s="11"/>
      <c r="S16" s="11"/>
      <c r="T16" s="11"/>
      <c r="U16" s="11"/>
      <c r="V16" s="11"/>
      <c r="W16" s="11"/>
      <c r="X16"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row>
    <row r="25">
      <c r="A25" s="11"/>
      <c r="B25" s="11"/>
      <c r="C25" s="11"/>
      <c r="D25" s="11"/>
      <c r="E25" s="11"/>
      <c r="F25" s="11"/>
      <c r="G25" s="127"/>
      <c r="H25" s="11"/>
      <c r="I25" s="11"/>
      <c r="J25" s="11"/>
      <c r="K25" s="11"/>
      <c r="L25" s="11"/>
      <c r="M25" s="11"/>
      <c r="N25" s="11"/>
      <c r="O25" s="11"/>
      <c r="P25" s="11"/>
      <c r="Q25" s="11"/>
      <c r="R25" s="11"/>
      <c r="S25" s="11"/>
      <c r="T25" s="11"/>
      <c r="U25" s="11"/>
      <c r="V25" s="11"/>
      <c r="W25" s="11"/>
      <c r="X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row>
  </sheetData>
  <mergeCells count="18">
    <mergeCell ref="B1:D2"/>
    <mergeCell ref="B3:D3"/>
    <mergeCell ref="B4:D4"/>
    <mergeCell ref="B5:D5"/>
    <mergeCell ref="A9:A10"/>
    <mergeCell ref="B9:B10"/>
    <mergeCell ref="C9:C10"/>
    <mergeCell ref="D13:F13"/>
    <mergeCell ref="D14:F14"/>
    <mergeCell ref="D15:F15"/>
    <mergeCell ref="D16:F16"/>
    <mergeCell ref="D9:F10"/>
    <mergeCell ref="G9:G10"/>
    <mergeCell ref="H9:H10"/>
    <mergeCell ref="I9:I10"/>
    <mergeCell ref="J9:J10"/>
    <mergeCell ref="B11:J11"/>
    <mergeCell ref="A12:J12"/>
  </mergeCells>
  <hyperlinks>
    <hyperlink r:id="rId1" ref="G13"/>
    <hyperlink r:id="rId2" ref="G14"/>
    <hyperlink r:id="rId3" ref="G15"/>
    <hyperlink r:id="rId4" ref="G16"/>
  </hyperlink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4" t="s">
        <v>2</v>
      </c>
      <c r="B1" s="6"/>
      <c r="E1" s="6"/>
      <c r="F1" s="6"/>
      <c r="G1" s="6"/>
      <c r="H1" s="6"/>
      <c r="I1" s="6"/>
      <c r="J1" s="6"/>
      <c r="K1" s="11"/>
      <c r="L1" s="11"/>
      <c r="M1" s="11"/>
      <c r="N1" s="11"/>
      <c r="O1" s="11"/>
      <c r="P1" s="11"/>
      <c r="Q1" s="11"/>
      <c r="R1" s="11"/>
      <c r="S1" s="11"/>
      <c r="T1" s="11"/>
      <c r="U1" s="11"/>
      <c r="V1" s="11"/>
      <c r="W1" s="11"/>
      <c r="X1" s="11"/>
    </row>
    <row r="2">
      <c r="A2" s="6"/>
      <c r="B2" s="14"/>
      <c r="C2" s="14"/>
      <c r="D2" s="14"/>
      <c r="E2" s="6"/>
      <c r="F2" s="6"/>
      <c r="G2" s="6"/>
      <c r="H2" s="6"/>
      <c r="I2" s="6"/>
      <c r="J2" s="6"/>
      <c r="K2" s="11"/>
      <c r="L2" s="11"/>
      <c r="M2" s="11"/>
      <c r="N2" s="11"/>
      <c r="O2" s="11"/>
      <c r="P2" s="11"/>
      <c r="Q2" s="11"/>
      <c r="R2" s="11"/>
      <c r="S2" s="11"/>
      <c r="T2" s="11"/>
      <c r="U2" s="11"/>
      <c r="V2" s="11"/>
      <c r="W2" s="11"/>
      <c r="X2" s="11"/>
    </row>
    <row r="3">
      <c r="A3" s="18" t="s">
        <v>8</v>
      </c>
      <c r="B3" s="21" t="s">
        <v>10</v>
      </c>
      <c r="C3" s="23"/>
      <c r="D3" s="25"/>
      <c r="E3" s="6"/>
      <c r="F3" s="6"/>
      <c r="G3" s="6"/>
      <c r="H3" s="6"/>
      <c r="I3" s="11"/>
      <c r="J3" s="11"/>
      <c r="K3" s="11"/>
      <c r="L3" s="11"/>
      <c r="M3" s="11"/>
      <c r="N3" s="11"/>
      <c r="O3" s="11"/>
      <c r="P3" s="11"/>
      <c r="Q3" s="11"/>
      <c r="R3" s="11"/>
      <c r="S3" s="11"/>
      <c r="T3" s="11"/>
      <c r="U3" s="11"/>
      <c r="V3" s="11"/>
      <c r="W3" s="11"/>
      <c r="X3" s="11"/>
    </row>
    <row r="4">
      <c r="A4" s="18" t="s">
        <v>13</v>
      </c>
      <c r="B4" s="28" t="s">
        <v>833</v>
      </c>
      <c r="C4" s="23"/>
      <c r="D4" s="25"/>
      <c r="E4" s="6"/>
      <c r="F4" s="6"/>
      <c r="G4" s="6"/>
      <c r="H4" s="6"/>
      <c r="I4" s="11"/>
      <c r="J4" s="11"/>
      <c r="K4" s="11"/>
      <c r="L4" s="11"/>
      <c r="M4" s="11"/>
      <c r="N4" s="11"/>
      <c r="O4" s="11"/>
      <c r="P4" s="11"/>
      <c r="Q4" s="11"/>
      <c r="R4" s="11"/>
      <c r="S4" s="11"/>
      <c r="T4" s="11"/>
      <c r="U4" s="11"/>
      <c r="V4" s="11"/>
      <c r="W4" s="11"/>
      <c r="X4" s="11"/>
    </row>
    <row r="5">
      <c r="A5" s="18" t="s">
        <v>17</v>
      </c>
      <c r="B5" s="21" t="s">
        <v>834</v>
      </c>
      <c r="C5" s="23"/>
      <c r="D5" s="25"/>
      <c r="E5" s="6"/>
      <c r="F5" s="6"/>
      <c r="G5" s="6"/>
      <c r="H5" s="6"/>
      <c r="I5" s="11"/>
      <c r="J5" s="11"/>
      <c r="K5" s="11"/>
      <c r="L5" s="11"/>
      <c r="M5" s="11"/>
      <c r="N5" s="11"/>
      <c r="O5" s="11"/>
      <c r="P5" s="11"/>
      <c r="Q5" s="11"/>
      <c r="R5" s="11"/>
      <c r="S5" s="11"/>
      <c r="T5" s="11"/>
      <c r="U5" s="11"/>
      <c r="V5" s="11"/>
      <c r="W5" s="11"/>
      <c r="X5" s="11"/>
    </row>
    <row r="6">
      <c r="A6" s="37" t="s">
        <v>26</v>
      </c>
      <c r="B6" s="40">
        <v>5.0</v>
      </c>
      <c r="C6" s="43" t="s">
        <v>29</v>
      </c>
      <c r="D6" s="45">
        <v>0.0</v>
      </c>
      <c r="E6" s="6"/>
      <c r="F6" s="6"/>
      <c r="G6" s="6"/>
      <c r="H6" s="6"/>
      <c r="I6" s="11"/>
      <c r="J6" s="11"/>
      <c r="K6" s="11"/>
      <c r="L6" s="11"/>
      <c r="M6" s="11"/>
      <c r="N6" s="11"/>
      <c r="O6" s="11"/>
      <c r="P6" s="11"/>
      <c r="Q6" s="11"/>
      <c r="R6" s="11"/>
      <c r="S6" s="11"/>
      <c r="T6" s="11"/>
      <c r="U6" s="11"/>
      <c r="V6" s="11"/>
      <c r="W6" s="11"/>
      <c r="X6" s="11"/>
    </row>
    <row r="7">
      <c r="A7" s="37" t="s">
        <v>28</v>
      </c>
      <c r="B7" s="40">
        <v>0.0</v>
      </c>
      <c r="C7" s="48" t="s">
        <v>34</v>
      </c>
      <c r="D7" s="45">
        <v>5.0</v>
      </c>
      <c r="E7" s="6"/>
      <c r="F7" s="6"/>
      <c r="G7" s="6"/>
      <c r="H7" s="6"/>
      <c r="I7" s="11"/>
      <c r="J7" s="11"/>
      <c r="K7" s="11"/>
      <c r="L7" s="11"/>
      <c r="M7" s="11"/>
      <c r="N7" s="11"/>
      <c r="O7" s="11"/>
      <c r="P7" s="11"/>
      <c r="Q7" s="11"/>
      <c r="R7" s="11"/>
      <c r="S7" s="11"/>
      <c r="T7" s="11"/>
      <c r="U7" s="11"/>
      <c r="V7" s="11"/>
      <c r="W7" s="11"/>
      <c r="X7" s="11"/>
    </row>
    <row r="8">
      <c r="A8" s="51"/>
      <c r="B8" s="52"/>
      <c r="C8" s="52"/>
      <c r="D8" s="52"/>
      <c r="E8" s="6"/>
      <c r="F8" s="6"/>
      <c r="G8" s="6"/>
      <c r="H8" s="6"/>
      <c r="I8" s="53"/>
      <c r="J8" s="53"/>
      <c r="K8" s="11"/>
      <c r="L8" s="11"/>
      <c r="M8" s="11"/>
      <c r="N8" s="11"/>
      <c r="O8" s="11"/>
      <c r="P8" s="11"/>
      <c r="Q8" s="11"/>
      <c r="R8" s="11"/>
      <c r="S8" s="11"/>
      <c r="T8" s="11"/>
      <c r="U8" s="11"/>
      <c r="V8" s="11"/>
      <c r="W8" s="11"/>
      <c r="X8" s="11"/>
    </row>
    <row r="9">
      <c r="A9" s="54" t="s">
        <v>36</v>
      </c>
      <c r="B9" s="56" t="s">
        <v>38</v>
      </c>
      <c r="C9" s="54" t="s">
        <v>39</v>
      </c>
      <c r="D9" s="57" t="s">
        <v>40</v>
      </c>
      <c r="G9" s="54" t="s">
        <v>41</v>
      </c>
      <c r="H9" s="59" t="s">
        <v>42</v>
      </c>
      <c r="I9" s="59" t="s">
        <v>43</v>
      </c>
      <c r="J9" s="59" t="s">
        <v>44</v>
      </c>
      <c r="K9" s="11"/>
      <c r="L9" s="11"/>
      <c r="M9" s="11"/>
      <c r="N9" s="11"/>
      <c r="O9" s="11"/>
      <c r="P9" s="11"/>
      <c r="Q9" s="11"/>
      <c r="R9" s="11"/>
      <c r="S9" s="11"/>
      <c r="T9" s="11"/>
      <c r="U9" s="11"/>
      <c r="V9" s="11"/>
      <c r="W9" s="11"/>
      <c r="X9" s="11"/>
    </row>
    <row r="10">
      <c r="A10" s="63"/>
      <c r="B10" s="63"/>
      <c r="C10" s="63"/>
      <c r="D10" s="65"/>
      <c r="E10" s="14"/>
      <c r="F10" s="14"/>
      <c r="G10" s="63"/>
      <c r="H10" s="63"/>
      <c r="I10" s="63"/>
      <c r="J10" s="63"/>
      <c r="K10" s="11"/>
      <c r="L10" s="11"/>
      <c r="M10" s="11"/>
      <c r="N10" s="11"/>
      <c r="O10" s="11"/>
      <c r="P10" s="11"/>
      <c r="Q10" s="11"/>
      <c r="R10" s="11"/>
      <c r="S10" s="11"/>
      <c r="T10" s="11"/>
      <c r="U10" s="11"/>
      <c r="V10" s="11"/>
      <c r="W10" s="11"/>
      <c r="X10" s="11"/>
    </row>
    <row r="11">
      <c r="A11" s="69"/>
      <c r="B11" s="136"/>
      <c r="C11" s="23"/>
      <c r="D11" s="23"/>
      <c r="E11" s="23"/>
      <c r="F11" s="23"/>
      <c r="G11" s="23"/>
      <c r="H11" s="23"/>
      <c r="I11" s="23"/>
      <c r="J11" s="25"/>
      <c r="K11" s="11"/>
      <c r="L11" s="11"/>
      <c r="M11" s="11"/>
      <c r="N11" s="11"/>
      <c r="O11" s="11"/>
      <c r="P11" s="11"/>
      <c r="Q11" s="11"/>
      <c r="R11" s="11"/>
      <c r="S11" s="11"/>
      <c r="T11" s="11"/>
      <c r="U11" s="11"/>
      <c r="V11" s="11"/>
      <c r="W11" s="11"/>
      <c r="X11" s="11"/>
    </row>
    <row r="12" ht="97.5" customHeight="1">
      <c r="A12" s="76" t="s">
        <v>835</v>
      </c>
      <c r="B12" s="77" t="s">
        <v>836</v>
      </c>
      <c r="C12" s="79" t="s">
        <v>837</v>
      </c>
      <c r="D12" s="81" t="s">
        <v>838</v>
      </c>
      <c r="E12" s="23"/>
      <c r="F12" s="23"/>
      <c r="G12" s="85" t="s">
        <v>839</v>
      </c>
      <c r="H12" s="86">
        <v>46252.0</v>
      </c>
      <c r="I12" s="76" t="s">
        <v>26</v>
      </c>
      <c r="J12" s="79" t="s">
        <v>840</v>
      </c>
      <c r="K12" s="11"/>
      <c r="L12" s="11"/>
      <c r="M12" s="11"/>
      <c r="N12" s="11"/>
      <c r="O12" s="11"/>
      <c r="P12" s="11"/>
      <c r="Q12" s="11"/>
      <c r="R12" s="11"/>
      <c r="S12" s="11"/>
      <c r="T12" s="11"/>
      <c r="U12" s="11"/>
      <c r="V12" s="11"/>
      <c r="W12" s="11"/>
      <c r="X12" s="11"/>
    </row>
    <row r="13" ht="104.25" customHeight="1">
      <c r="A13" s="76" t="s">
        <v>841</v>
      </c>
      <c r="B13" s="77" t="s">
        <v>842</v>
      </c>
      <c r="C13" s="79" t="s">
        <v>843</v>
      </c>
      <c r="D13" s="81" t="s">
        <v>844</v>
      </c>
      <c r="E13" s="23"/>
      <c r="F13" s="23"/>
      <c r="G13" s="85" t="s">
        <v>845</v>
      </c>
      <c r="H13" s="86">
        <v>46252.0</v>
      </c>
      <c r="I13" s="76" t="s">
        <v>26</v>
      </c>
      <c r="J13" s="79" t="s">
        <v>846</v>
      </c>
      <c r="K13" s="11"/>
      <c r="L13" s="11"/>
      <c r="M13" s="11"/>
      <c r="N13" s="11"/>
      <c r="O13" s="11"/>
      <c r="P13" s="11"/>
      <c r="Q13" s="11"/>
      <c r="R13" s="11"/>
      <c r="S13" s="11"/>
      <c r="T13" s="11"/>
      <c r="U13" s="11"/>
      <c r="V13" s="11"/>
      <c r="W13" s="11"/>
      <c r="X13" s="11"/>
    </row>
    <row r="14" ht="144.0" customHeight="1">
      <c r="A14" s="76" t="s">
        <v>847</v>
      </c>
      <c r="B14" s="77" t="s">
        <v>848</v>
      </c>
      <c r="C14" s="79" t="s">
        <v>849</v>
      </c>
      <c r="D14" s="81" t="s">
        <v>850</v>
      </c>
      <c r="E14" s="23"/>
      <c r="F14" s="23"/>
      <c r="G14" s="85" t="s">
        <v>851</v>
      </c>
      <c r="H14" s="86">
        <v>46252.0</v>
      </c>
      <c r="I14" s="76" t="s">
        <v>26</v>
      </c>
      <c r="J14" s="79" t="s">
        <v>852</v>
      </c>
      <c r="K14" s="11"/>
      <c r="L14" s="11"/>
      <c r="M14" s="11"/>
      <c r="N14" s="11"/>
      <c r="O14" s="11"/>
      <c r="P14" s="11"/>
      <c r="Q14" s="11"/>
      <c r="R14" s="11"/>
      <c r="S14" s="11"/>
      <c r="T14" s="11"/>
      <c r="U14" s="11"/>
      <c r="V14" s="11"/>
      <c r="W14" s="11"/>
      <c r="X14" s="11"/>
    </row>
    <row r="15" ht="141.75" customHeight="1">
      <c r="A15" s="76" t="s">
        <v>853</v>
      </c>
      <c r="B15" s="77" t="s">
        <v>854</v>
      </c>
      <c r="C15" s="79" t="s">
        <v>855</v>
      </c>
      <c r="D15" s="81" t="s">
        <v>856</v>
      </c>
      <c r="E15" s="23"/>
      <c r="F15" s="23"/>
      <c r="G15" s="85" t="s">
        <v>857</v>
      </c>
      <c r="H15" s="86">
        <v>46252.0</v>
      </c>
      <c r="I15" s="76" t="s">
        <v>26</v>
      </c>
      <c r="J15" s="79" t="s">
        <v>858</v>
      </c>
      <c r="K15" s="11"/>
      <c r="L15" s="11"/>
      <c r="M15" s="11"/>
      <c r="N15" s="11"/>
      <c r="O15" s="11"/>
      <c r="P15" s="11"/>
      <c r="Q15" s="11"/>
      <c r="R15" s="11"/>
      <c r="S15" s="11"/>
      <c r="T15" s="11"/>
      <c r="U15" s="11"/>
      <c r="V15" s="11"/>
      <c r="W15" s="11"/>
      <c r="X15" s="11"/>
    </row>
    <row r="16" ht="157.5" customHeight="1">
      <c r="A16" s="76" t="s">
        <v>859</v>
      </c>
      <c r="B16" s="77" t="s">
        <v>860</v>
      </c>
      <c r="C16" s="79" t="s">
        <v>861</v>
      </c>
      <c r="D16" s="81" t="s">
        <v>862</v>
      </c>
      <c r="E16" s="23"/>
      <c r="F16" s="23"/>
      <c r="G16" s="85" t="s">
        <v>863</v>
      </c>
      <c r="H16" s="86">
        <v>46252.0</v>
      </c>
      <c r="I16" s="76" t="s">
        <v>26</v>
      </c>
      <c r="J16" s="79" t="s">
        <v>864</v>
      </c>
      <c r="K16" s="11"/>
      <c r="L16" s="11"/>
      <c r="M16" s="11"/>
      <c r="N16" s="11"/>
      <c r="O16" s="11"/>
      <c r="P16" s="11"/>
      <c r="Q16" s="11"/>
      <c r="R16" s="11"/>
      <c r="S16" s="11"/>
      <c r="T16" s="11"/>
      <c r="U16" s="11"/>
      <c r="V16" s="11"/>
      <c r="W16" s="11"/>
      <c r="X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row>
    <row r="27">
      <c r="A27" s="11"/>
      <c r="B27" s="11"/>
      <c r="C27" s="11"/>
      <c r="D27" s="11"/>
      <c r="E27" s="11"/>
      <c r="F27" s="11"/>
      <c r="G27" s="127"/>
      <c r="H27" s="11"/>
      <c r="I27" s="11"/>
      <c r="J27" s="11"/>
      <c r="K27" s="11"/>
      <c r="L27" s="11"/>
      <c r="M27" s="11"/>
      <c r="N27" s="11"/>
      <c r="O27" s="11"/>
      <c r="P27" s="11"/>
      <c r="Q27" s="11"/>
      <c r="R27" s="11"/>
      <c r="S27" s="11"/>
      <c r="T27" s="11"/>
      <c r="U27" s="11"/>
      <c r="V27" s="11"/>
      <c r="W27" s="11"/>
      <c r="X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row>
  </sheetData>
  <mergeCells count="18">
    <mergeCell ref="B1:D2"/>
    <mergeCell ref="B3:D3"/>
    <mergeCell ref="B4:D4"/>
    <mergeCell ref="B5:D5"/>
    <mergeCell ref="A9:A10"/>
    <mergeCell ref="B9:B10"/>
    <mergeCell ref="C9:C10"/>
    <mergeCell ref="D13:F13"/>
    <mergeCell ref="D14:F14"/>
    <mergeCell ref="D15:F15"/>
    <mergeCell ref="D16:F16"/>
    <mergeCell ref="D9:F10"/>
    <mergeCell ref="G9:G10"/>
    <mergeCell ref="H9:H10"/>
    <mergeCell ref="I9:I10"/>
    <mergeCell ref="J9:J10"/>
    <mergeCell ref="B11:J11"/>
    <mergeCell ref="D12:F12"/>
  </mergeCells>
  <hyperlinks>
    <hyperlink r:id="rId1" ref="G12"/>
    <hyperlink r:id="rId2" ref="G13"/>
    <hyperlink r:id="rId3" ref="G14"/>
    <hyperlink r:id="rId4" ref="G15"/>
    <hyperlink r:id="rId5" ref="G16"/>
  </hyperlinks>
  <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22.13"/>
    <col customWidth="1" min="3" max="3" width="43.5"/>
    <col customWidth="1" min="6" max="6" width="19.0"/>
    <col customWidth="1" min="7" max="7" width="22.63"/>
    <col customWidth="1" min="8" max="8" width="20.13"/>
    <col customWidth="1" min="9" max="9" width="15.5"/>
    <col customWidth="1" min="10" max="10" width="21.38"/>
  </cols>
  <sheetData>
    <row r="1">
      <c r="A1" s="4" t="s">
        <v>2</v>
      </c>
      <c r="B1" s="6"/>
      <c r="E1" s="6"/>
      <c r="F1" s="6"/>
      <c r="G1" s="6"/>
      <c r="H1" s="6"/>
      <c r="I1" s="6"/>
      <c r="J1" s="6"/>
      <c r="K1" s="11"/>
      <c r="L1" s="11"/>
      <c r="M1" s="11"/>
      <c r="N1" s="11"/>
      <c r="O1" s="11"/>
      <c r="P1" s="11"/>
      <c r="Q1" s="11"/>
      <c r="R1" s="11"/>
      <c r="S1" s="11"/>
      <c r="T1" s="11"/>
      <c r="U1" s="11"/>
      <c r="V1" s="11"/>
      <c r="W1" s="11"/>
      <c r="X1" s="11"/>
    </row>
    <row r="2">
      <c r="A2" s="6"/>
      <c r="B2" s="14"/>
      <c r="C2" s="14"/>
      <c r="D2" s="14"/>
      <c r="E2" s="6"/>
      <c r="F2" s="6"/>
      <c r="G2" s="6"/>
      <c r="H2" s="6"/>
      <c r="I2" s="6"/>
      <c r="J2" s="6"/>
      <c r="K2" s="11"/>
      <c r="L2" s="11"/>
      <c r="M2" s="11"/>
      <c r="N2" s="11"/>
      <c r="O2" s="11"/>
      <c r="P2" s="11"/>
      <c r="Q2" s="11"/>
      <c r="R2" s="11"/>
      <c r="S2" s="11"/>
      <c r="T2" s="11"/>
      <c r="U2" s="11"/>
      <c r="V2" s="11"/>
      <c r="W2" s="11"/>
      <c r="X2" s="11"/>
    </row>
    <row r="3">
      <c r="A3" s="18" t="s">
        <v>8</v>
      </c>
      <c r="B3" s="21" t="s">
        <v>10</v>
      </c>
      <c r="C3" s="23"/>
      <c r="D3" s="25"/>
      <c r="E3" s="6"/>
      <c r="F3" s="6"/>
      <c r="G3" s="6"/>
      <c r="H3" s="6"/>
      <c r="I3" s="11"/>
      <c r="J3" s="11"/>
      <c r="K3" s="11"/>
      <c r="L3" s="11"/>
      <c r="M3" s="11"/>
      <c r="N3" s="11"/>
      <c r="O3" s="11"/>
      <c r="P3" s="11"/>
      <c r="Q3" s="11"/>
      <c r="R3" s="11"/>
      <c r="S3" s="11"/>
      <c r="T3" s="11"/>
      <c r="U3" s="11"/>
      <c r="V3" s="11"/>
      <c r="W3" s="11"/>
      <c r="X3" s="11"/>
    </row>
    <row r="4">
      <c r="A4" s="18" t="s">
        <v>13</v>
      </c>
      <c r="B4" s="28" t="s">
        <v>865</v>
      </c>
      <c r="C4" s="23"/>
      <c r="D4" s="25"/>
      <c r="E4" s="6"/>
      <c r="F4" s="6"/>
      <c r="G4" s="6"/>
      <c r="H4" s="6"/>
      <c r="I4" s="11"/>
      <c r="J4" s="11"/>
      <c r="K4" s="11"/>
      <c r="L4" s="11"/>
      <c r="M4" s="11"/>
      <c r="N4" s="11"/>
      <c r="O4" s="11"/>
      <c r="P4" s="11"/>
      <c r="Q4" s="11"/>
      <c r="R4" s="11"/>
      <c r="S4" s="11"/>
      <c r="T4" s="11"/>
      <c r="U4" s="11"/>
      <c r="V4" s="11"/>
      <c r="W4" s="11"/>
      <c r="X4" s="11"/>
    </row>
    <row r="5">
      <c r="A5" s="18" t="s">
        <v>17</v>
      </c>
      <c r="B5" s="21" t="s">
        <v>866</v>
      </c>
      <c r="C5" s="23"/>
      <c r="D5" s="25"/>
      <c r="E5" s="6"/>
      <c r="F5" s="6"/>
      <c r="G5" s="6"/>
      <c r="H5" s="6"/>
      <c r="I5" s="11"/>
      <c r="J5" s="11"/>
      <c r="K5" s="11"/>
      <c r="L5" s="11"/>
      <c r="M5" s="11"/>
      <c r="N5" s="11"/>
      <c r="O5" s="11"/>
      <c r="P5" s="11"/>
      <c r="Q5" s="11"/>
      <c r="R5" s="11"/>
      <c r="S5" s="11"/>
      <c r="T5" s="11"/>
      <c r="U5" s="11"/>
      <c r="V5" s="11"/>
      <c r="W5" s="11"/>
      <c r="X5" s="11"/>
    </row>
    <row r="6">
      <c r="A6" s="37" t="s">
        <v>26</v>
      </c>
      <c r="B6" s="40">
        <v>10.0</v>
      </c>
      <c r="C6" s="43" t="s">
        <v>29</v>
      </c>
      <c r="D6" s="45">
        <v>0.0</v>
      </c>
      <c r="E6" s="6"/>
      <c r="F6" s="6"/>
      <c r="G6" s="6"/>
      <c r="H6" s="6"/>
      <c r="I6" s="11"/>
      <c r="J6" s="11"/>
      <c r="K6" s="11"/>
      <c r="L6" s="11"/>
      <c r="M6" s="11"/>
      <c r="N6" s="11"/>
      <c r="O6" s="11"/>
      <c r="P6" s="11"/>
      <c r="Q6" s="11"/>
      <c r="R6" s="11"/>
      <c r="S6" s="11"/>
      <c r="T6" s="11"/>
      <c r="U6" s="11"/>
      <c r="V6" s="11"/>
      <c r="W6" s="11"/>
      <c r="X6" s="11"/>
    </row>
    <row r="7">
      <c r="A7" s="37" t="s">
        <v>28</v>
      </c>
      <c r="B7" s="40">
        <v>1.0</v>
      </c>
      <c r="C7" s="48" t="s">
        <v>34</v>
      </c>
      <c r="D7" s="45">
        <v>11.0</v>
      </c>
      <c r="E7" s="6"/>
      <c r="F7" s="6"/>
      <c r="G7" s="6"/>
      <c r="H7" s="6"/>
      <c r="I7" s="11"/>
      <c r="J7" s="11"/>
      <c r="K7" s="11"/>
      <c r="L7" s="11"/>
      <c r="M7" s="11"/>
      <c r="N7" s="11"/>
      <c r="O7" s="11"/>
      <c r="P7" s="11"/>
      <c r="Q7" s="11"/>
      <c r="R7" s="11"/>
      <c r="S7" s="11"/>
      <c r="T7" s="11"/>
      <c r="U7" s="11"/>
      <c r="V7" s="11"/>
      <c r="W7" s="11"/>
      <c r="X7" s="11"/>
    </row>
    <row r="8">
      <c r="A8" s="51"/>
      <c r="B8" s="52"/>
      <c r="C8" s="52"/>
      <c r="D8" s="52"/>
      <c r="E8" s="6"/>
      <c r="F8" s="6"/>
      <c r="G8" s="6"/>
      <c r="H8" s="6"/>
      <c r="I8" s="53"/>
      <c r="J8" s="53"/>
      <c r="K8" s="11"/>
      <c r="L8" s="11"/>
      <c r="M8" s="11"/>
      <c r="N8" s="11"/>
      <c r="O8" s="11"/>
      <c r="P8" s="11"/>
      <c r="Q8" s="11"/>
      <c r="R8" s="11"/>
      <c r="S8" s="11"/>
      <c r="T8" s="11"/>
      <c r="U8" s="11"/>
      <c r="V8" s="11"/>
      <c r="W8" s="11"/>
      <c r="X8" s="11"/>
    </row>
    <row r="9">
      <c r="A9" s="54" t="s">
        <v>36</v>
      </c>
      <c r="B9" s="56" t="s">
        <v>38</v>
      </c>
      <c r="C9" s="54" t="s">
        <v>39</v>
      </c>
      <c r="D9" s="57" t="s">
        <v>40</v>
      </c>
      <c r="G9" s="54" t="s">
        <v>41</v>
      </c>
      <c r="H9" s="59" t="s">
        <v>42</v>
      </c>
      <c r="I9" s="59" t="s">
        <v>43</v>
      </c>
      <c r="J9" s="59" t="s">
        <v>44</v>
      </c>
      <c r="K9" s="11"/>
      <c r="L9" s="11"/>
      <c r="M9" s="11"/>
      <c r="N9" s="11"/>
      <c r="O9" s="11"/>
      <c r="P9" s="11"/>
      <c r="Q9" s="11"/>
      <c r="R9" s="11"/>
      <c r="S9" s="11"/>
      <c r="T9" s="11"/>
      <c r="U9" s="11"/>
      <c r="V9" s="11"/>
      <c r="W9" s="11"/>
      <c r="X9" s="11"/>
    </row>
    <row r="10">
      <c r="A10" s="63"/>
      <c r="B10" s="63"/>
      <c r="C10" s="63"/>
      <c r="D10" s="65"/>
      <c r="E10" s="14"/>
      <c r="F10" s="14"/>
      <c r="G10" s="63"/>
      <c r="H10" s="63"/>
      <c r="I10" s="63"/>
      <c r="J10" s="63"/>
      <c r="K10" s="11"/>
      <c r="L10" s="11"/>
      <c r="M10" s="11"/>
      <c r="N10" s="11"/>
      <c r="O10" s="11"/>
      <c r="P10" s="11"/>
      <c r="Q10" s="11"/>
      <c r="R10" s="11"/>
      <c r="S10" s="11"/>
      <c r="T10" s="11"/>
      <c r="U10" s="11"/>
      <c r="V10" s="11"/>
      <c r="W10" s="11"/>
      <c r="X10" s="11"/>
    </row>
    <row r="11">
      <c r="A11" s="69"/>
      <c r="B11" s="136"/>
      <c r="C11" s="23"/>
      <c r="D11" s="23"/>
      <c r="E11" s="23"/>
      <c r="F11" s="23"/>
      <c r="G11" s="23"/>
      <c r="H11" s="23"/>
      <c r="I11" s="23"/>
      <c r="J11" s="25"/>
      <c r="K11" s="11"/>
      <c r="L11" s="11"/>
      <c r="M11" s="11"/>
      <c r="N11" s="11"/>
      <c r="O11" s="11"/>
      <c r="P11" s="11"/>
      <c r="Q11" s="11"/>
      <c r="R11" s="11"/>
      <c r="S11" s="11"/>
      <c r="T11" s="11"/>
      <c r="U11" s="11"/>
      <c r="V11" s="11"/>
      <c r="W11" s="11"/>
      <c r="X11" s="11"/>
    </row>
    <row r="12">
      <c r="A12" s="74" t="s">
        <v>867</v>
      </c>
      <c r="B12" s="23"/>
      <c r="C12" s="23"/>
      <c r="D12" s="23"/>
      <c r="E12" s="23"/>
      <c r="F12" s="23"/>
      <c r="G12" s="23"/>
      <c r="H12" s="23"/>
      <c r="I12" s="23"/>
      <c r="J12" s="25"/>
      <c r="K12" s="11"/>
      <c r="L12" s="11"/>
      <c r="M12" s="11"/>
      <c r="N12" s="11"/>
      <c r="O12" s="11"/>
      <c r="P12" s="11"/>
      <c r="Q12" s="11"/>
      <c r="R12" s="11"/>
      <c r="S12" s="11"/>
      <c r="T12" s="11"/>
      <c r="U12" s="11"/>
      <c r="V12" s="11"/>
      <c r="W12" s="11"/>
      <c r="X12" s="11"/>
    </row>
    <row r="13" ht="161.25" customHeight="1">
      <c r="A13" s="76" t="s">
        <v>868</v>
      </c>
      <c r="B13" s="77" t="s">
        <v>869</v>
      </c>
      <c r="C13" s="79" t="s">
        <v>870</v>
      </c>
      <c r="D13" s="81" t="s">
        <v>871</v>
      </c>
      <c r="E13" s="23"/>
      <c r="F13" s="23"/>
      <c r="G13" s="85" t="s">
        <v>872</v>
      </c>
      <c r="H13" s="86">
        <v>46255.0</v>
      </c>
      <c r="I13" s="76" t="s">
        <v>26</v>
      </c>
      <c r="J13" s="79" t="s">
        <v>873</v>
      </c>
      <c r="K13" s="11"/>
      <c r="L13" s="11"/>
      <c r="M13" s="11"/>
      <c r="N13" s="11"/>
      <c r="O13" s="11"/>
      <c r="P13" s="11"/>
      <c r="Q13" s="11"/>
      <c r="R13" s="11"/>
      <c r="S13" s="11"/>
      <c r="T13" s="11"/>
      <c r="U13" s="11"/>
      <c r="V13" s="11"/>
      <c r="W13" s="11"/>
      <c r="X13" s="11"/>
    </row>
    <row r="14" ht="15.0" customHeight="1">
      <c r="A14" s="74" t="s">
        <v>874</v>
      </c>
      <c r="B14" s="23"/>
      <c r="C14" s="23"/>
      <c r="D14" s="23"/>
      <c r="E14" s="23"/>
      <c r="F14" s="23"/>
      <c r="G14" s="23"/>
      <c r="H14" s="23"/>
      <c r="I14" s="23"/>
      <c r="J14" s="25"/>
      <c r="K14" s="11"/>
      <c r="L14" s="11"/>
      <c r="M14" s="11"/>
      <c r="N14" s="11"/>
      <c r="O14" s="11"/>
      <c r="P14" s="11"/>
      <c r="Q14" s="11"/>
      <c r="R14" s="11"/>
      <c r="S14" s="11"/>
      <c r="T14" s="11"/>
      <c r="U14" s="11"/>
      <c r="V14" s="11"/>
      <c r="W14" s="11"/>
      <c r="X14" s="11"/>
    </row>
    <row r="15" ht="141.75" customHeight="1">
      <c r="A15" s="76" t="s">
        <v>875</v>
      </c>
      <c r="B15" s="77" t="s">
        <v>876</v>
      </c>
      <c r="C15" s="79" t="s">
        <v>877</v>
      </c>
      <c r="D15" s="81" t="s">
        <v>878</v>
      </c>
      <c r="E15" s="23"/>
      <c r="F15" s="23"/>
      <c r="G15" s="85" t="s">
        <v>879</v>
      </c>
      <c r="H15" s="86">
        <v>46255.0</v>
      </c>
      <c r="I15" s="76" t="s">
        <v>26</v>
      </c>
      <c r="J15" s="79" t="s">
        <v>880</v>
      </c>
      <c r="K15" s="11"/>
      <c r="L15" s="11"/>
      <c r="M15" s="11"/>
      <c r="N15" s="11"/>
      <c r="O15" s="11"/>
      <c r="P15" s="11"/>
      <c r="Q15" s="11"/>
      <c r="R15" s="11"/>
      <c r="S15" s="11"/>
      <c r="T15" s="11"/>
      <c r="U15" s="11"/>
      <c r="V15" s="11"/>
      <c r="W15" s="11"/>
      <c r="X15" s="11"/>
    </row>
    <row r="16">
      <c r="A16" s="74" t="s">
        <v>881</v>
      </c>
      <c r="B16" s="23"/>
      <c r="C16" s="23"/>
      <c r="D16" s="23"/>
      <c r="E16" s="23"/>
      <c r="F16" s="23"/>
      <c r="G16" s="23"/>
      <c r="H16" s="23"/>
      <c r="I16" s="23"/>
      <c r="J16" s="25"/>
      <c r="K16" s="11"/>
      <c r="L16" s="11"/>
      <c r="M16" s="11"/>
      <c r="N16" s="11"/>
      <c r="O16" s="11"/>
      <c r="P16" s="11"/>
      <c r="Q16" s="11"/>
      <c r="R16" s="11"/>
      <c r="S16" s="11"/>
      <c r="T16" s="11"/>
      <c r="U16" s="11"/>
      <c r="V16" s="11"/>
      <c r="W16" s="11"/>
      <c r="X16" s="11"/>
    </row>
    <row r="17" ht="177.0" customHeight="1">
      <c r="A17" s="76" t="s">
        <v>882</v>
      </c>
      <c r="B17" s="77" t="s">
        <v>883</v>
      </c>
      <c r="C17" s="79" t="s">
        <v>884</v>
      </c>
      <c r="D17" s="81" t="s">
        <v>885</v>
      </c>
      <c r="E17" s="23"/>
      <c r="F17" s="23"/>
      <c r="G17" s="85" t="s">
        <v>886</v>
      </c>
      <c r="H17" s="86">
        <v>46255.0</v>
      </c>
      <c r="I17" s="76" t="s">
        <v>26</v>
      </c>
      <c r="J17" s="79" t="s">
        <v>887</v>
      </c>
      <c r="K17" s="11"/>
      <c r="L17" s="11"/>
      <c r="M17" s="11"/>
      <c r="N17" s="11"/>
      <c r="O17" s="11"/>
      <c r="P17" s="11"/>
      <c r="Q17" s="11"/>
      <c r="R17" s="11"/>
      <c r="S17" s="11"/>
      <c r="T17" s="11"/>
      <c r="U17" s="11"/>
      <c r="V17" s="11"/>
      <c r="W17" s="11"/>
      <c r="X17" s="11"/>
    </row>
    <row r="18">
      <c r="A18" s="74" t="s">
        <v>888</v>
      </c>
      <c r="B18" s="23"/>
      <c r="C18" s="23"/>
      <c r="D18" s="23"/>
      <c r="E18" s="23"/>
      <c r="F18" s="23"/>
      <c r="G18" s="23"/>
      <c r="H18" s="23"/>
      <c r="I18" s="23"/>
      <c r="J18" s="25"/>
      <c r="K18" s="11"/>
      <c r="L18" s="11"/>
      <c r="M18" s="11"/>
      <c r="N18" s="11"/>
      <c r="O18" s="11"/>
      <c r="P18" s="11"/>
      <c r="Q18" s="11"/>
      <c r="R18" s="11"/>
      <c r="S18" s="11"/>
      <c r="T18" s="11"/>
      <c r="U18" s="11"/>
      <c r="V18" s="11"/>
      <c r="W18" s="11"/>
      <c r="X18" s="11"/>
    </row>
    <row r="19" ht="141.75" customHeight="1">
      <c r="A19" s="76" t="s">
        <v>889</v>
      </c>
      <c r="B19" s="77" t="s">
        <v>890</v>
      </c>
      <c r="C19" s="79" t="s">
        <v>891</v>
      </c>
      <c r="D19" s="81" t="s">
        <v>892</v>
      </c>
      <c r="E19" s="23"/>
      <c r="F19" s="23"/>
      <c r="G19" s="85" t="s">
        <v>893</v>
      </c>
      <c r="H19" s="86">
        <v>46255.0</v>
      </c>
      <c r="I19" s="76" t="s">
        <v>26</v>
      </c>
      <c r="J19" s="79" t="s">
        <v>819</v>
      </c>
      <c r="K19" s="11"/>
      <c r="L19" s="11"/>
      <c r="M19" s="11"/>
      <c r="N19" s="11"/>
      <c r="O19" s="11"/>
      <c r="P19" s="11"/>
      <c r="Q19" s="11"/>
      <c r="R19" s="11"/>
      <c r="S19" s="11"/>
      <c r="T19" s="11"/>
      <c r="U19" s="11"/>
      <c r="V19" s="11"/>
      <c r="W19" s="11"/>
      <c r="X19" s="11"/>
    </row>
    <row r="20" ht="192.75" customHeight="1">
      <c r="A20" s="76" t="s">
        <v>894</v>
      </c>
      <c r="B20" s="77" t="s">
        <v>895</v>
      </c>
      <c r="C20" s="79" t="s">
        <v>896</v>
      </c>
      <c r="D20" s="81" t="s">
        <v>897</v>
      </c>
      <c r="E20" s="23"/>
      <c r="F20" s="23"/>
      <c r="G20" s="85" t="s">
        <v>898</v>
      </c>
      <c r="H20" s="86">
        <v>46255.0</v>
      </c>
      <c r="I20" s="76" t="s">
        <v>26</v>
      </c>
      <c r="J20" s="79" t="s">
        <v>819</v>
      </c>
      <c r="K20" s="11"/>
      <c r="L20" s="11"/>
      <c r="M20" s="11"/>
      <c r="N20" s="11"/>
      <c r="O20" s="11"/>
      <c r="P20" s="11"/>
      <c r="Q20" s="11"/>
      <c r="R20" s="11"/>
      <c r="S20" s="11"/>
      <c r="T20" s="11"/>
      <c r="U20" s="11"/>
      <c r="V20" s="11"/>
      <c r="W20" s="11"/>
      <c r="X20" s="11"/>
    </row>
    <row r="21" ht="192.75" customHeight="1">
      <c r="A21" s="76" t="s">
        <v>899</v>
      </c>
      <c r="B21" s="77" t="s">
        <v>900</v>
      </c>
      <c r="C21" s="79" t="s">
        <v>901</v>
      </c>
      <c r="D21" s="81" t="s">
        <v>902</v>
      </c>
      <c r="E21" s="23"/>
      <c r="F21" s="23"/>
      <c r="G21" s="85" t="s">
        <v>903</v>
      </c>
      <c r="H21" s="86">
        <v>46255.0</v>
      </c>
      <c r="I21" s="76" t="s">
        <v>26</v>
      </c>
      <c r="J21" s="79" t="s">
        <v>819</v>
      </c>
      <c r="K21" s="11"/>
      <c r="L21" s="11"/>
      <c r="M21" s="11"/>
      <c r="N21" s="11"/>
      <c r="O21" s="11"/>
      <c r="P21" s="11"/>
      <c r="Q21" s="11"/>
      <c r="R21" s="11"/>
      <c r="S21" s="11"/>
      <c r="T21" s="11"/>
      <c r="U21" s="11"/>
      <c r="V21" s="11"/>
      <c r="W21" s="11"/>
      <c r="X21" s="11"/>
    </row>
    <row r="22" ht="14.25" customHeight="1">
      <c r="A22" s="74" t="s">
        <v>904</v>
      </c>
      <c r="B22" s="23"/>
      <c r="C22" s="23"/>
      <c r="D22" s="23"/>
      <c r="E22" s="23"/>
      <c r="F22" s="23"/>
      <c r="G22" s="23"/>
      <c r="H22" s="23"/>
      <c r="I22" s="23"/>
      <c r="J22" s="25"/>
      <c r="K22" s="11"/>
      <c r="L22" s="11"/>
      <c r="M22" s="11"/>
      <c r="N22" s="11"/>
      <c r="O22" s="11"/>
      <c r="P22" s="11"/>
      <c r="Q22" s="11"/>
      <c r="R22" s="11"/>
      <c r="S22" s="11"/>
      <c r="T22" s="11"/>
      <c r="U22" s="11"/>
      <c r="V22" s="11"/>
      <c r="W22" s="11"/>
      <c r="X22" s="11"/>
    </row>
    <row r="23" ht="175.5" customHeight="1">
      <c r="A23" s="76" t="s">
        <v>905</v>
      </c>
      <c r="B23" s="77" t="s">
        <v>906</v>
      </c>
      <c r="C23" s="79" t="s">
        <v>907</v>
      </c>
      <c r="D23" s="81" t="s">
        <v>908</v>
      </c>
      <c r="E23" s="23"/>
      <c r="F23" s="23"/>
      <c r="G23" s="85" t="s">
        <v>909</v>
      </c>
      <c r="H23" s="86">
        <v>46255.0</v>
      </c>
      <c r="I23" s="76" t="s">
        <v>26</v>
      </c>
      <c r="J23" s="79" t="s">
        <v>910</v>
      </c>
      <c r="K23" s="11"/>
      <c r="L23" s="11"/>
      <c r="M23" s="11"/>
      <c r="N23" s="11"/>
      <c r="O23" s="11"/>
      <c r="P23" s="11"/>
      <c r="Q23" s="11"/>
      <c r="R23" s="11"/>
      <c r="S23" s="11"/>
      <c r="T23" s="11"/>
      <c r="U23" s="11"/>
      <c r="V23" s="11"/>
      <c r="W23" s="11"/>
      <c r="X23" s="11"/>
    </row>
    <row r="24">
      <c r="A24" s="76" t="s">
        <v>911</v>
      </c>
      <c r="B24" s="77" t="s">
        <v>912</v>
      </c>
      <c r="C24" s="79" t="s">
        <v>913</v>
      </c>
      <c r="D24" s="81" t="s">
        <v>914</v>
      </c>
      <c r="E24" s="23"/>
      <c r="F24" s="23"/>
      <c r="G24" s="129" t="s">
        <v>915</v>
      </c>
      <c r="H24" s="86">
        <v>46255.0</v>
      </c>
      <c r="I24" s="76" t="s">
        <v>26</v>
      </c>
      <c r="J24" s="79" t="s">
        <v>916</v>
      </c>
      <c r="K24" s="11"/>
      <c r="L24" s="11"/>
      <c r="M24" s="11"/>
      <c r="N24" s="11"/>
      <c r="O24" s="11"/>
      <c r="P24" s="11"/>
      <c r="Q24" s="11"/>
      <c r="R24" s="11"/>
      <c r="S24" s="11"/>
      <c r="T24" s="11"/>
      <c r="U24" s="11"/>
      <c r="V24" s="11"/>
      <c r="W24" s="11"/>
      <c r="X24" s="11"/>
    </row>
    <row r="25" ht="165.0" customHeight="1">
      <c r="A25" s="76" t="s">
        <v>917</v>
      </c>
      <c r="B25" s="77" t="s">
        <v>918</v>
      </c>
      <c r="C25" s="79" t="s">
        <v>919</v>
      </c>
      <c r="D25" s="81" t="s">
        <v>920</v>
      </c>
      <c r="E25" s="23"/>
      <c r="F25" s="23"/>
      <c r="G25" s="85" t="s">
        <v>921</v>
      </c>
      <c r="H25" s="86">
        <v>46255.0</v>
      </c>
      <c r="I25" s="76" t="s">
        <v>26</v>
      </c>
      <c r="J25" s="79" t="s">
        <v>922</v>
      </c>
      <c r="K25" s="11"/>
      <c r="L25" s="11"/>
      <c r="M25" s="11"/>
      <c r="N25" s="11"/>
      <c r="O25" s="11"/>
      <c r="P25" s="11"/>
      <c r="Q25" s="11"/>
      <c r="R25" s="11"/>
      <c r="S25" s="11"/>
      <c r="T25" s="11"/>
      <c r="U25" s="11"/>
      <c r="V25" s="11"/>
      <c r="W25" s="11"/>
      <c r="X25" s="11"/>
    </row>
    <row r="26" ht="165.0" customHeight="1">
      <c r="A26" s="76" t="s">
        <v>923</v>
      </c>
      <c r="B26" s="77" t="s">
        <v>924</v>
      </c>
      <c r="C26" s="79" t="s">
        <v>925</v>
      </c>
      <c r="D26" s="81" t="s">
        <v>926</v>
      </c>
      <c r="E26" s="23"/>
      <c r="F26" s="23"/>
      <c r="G26" s="85" t="s">
        <v>927</v>
      </c>
      <c r="H26" s="86">
        <v>46255.0</v>
      </c>
      <c r="I26" s="76" t="s">
        <v>28</v>
      </c>
      <c r="J26" s="79" t="s">
        <v>928</v>
      </c>
      <c r="K26" s="11"/>
      <c r="L26" s="11"/>
      <c r="M26" s="11"/>
      <c r="N26" s="11"/>
      <c r="O26" s="11"/>
      <c r="P26" s="11"/>
      <c r="Q26" s="11"/>
      <c r="R26" s="11"/>
      <c r="S26" s="11"/>
      <c r="T26" s="11"/>
      <c r="U26" s="11"/>
      <c r="V26" s="11"/>
      <c r="W26" s="11"/>
      <c r="X26" s="11"/>
    </row>
    <row r="27">
      <c r="A27" s="74" t="s">
        <v>929</v>
      </c>
      <c r="B27" s="23"/>
      <c r="C27" s="23"/>
      <c r="D27" s="23"/>
      <c r="E27" s="23"/>
      <c r="F27" s="23"/>
      <c r="G27" s="23"/>
      <c r="H27" s="23"/>
      <c r="I27" s="23"/>
      <c r="J27" s="25"/>
      <c r="K27" s="137"/>
      <c r="X27" s="11"/>
    </row>
    <row r="28" ht="165.0" customHeight="1">
      <c r="A28" s="76" t="s">
        <v>930</v>
      </c>
      <c r="B28" s="77" t="s">
        <v>931</v>
      </c>
      <c r="C28" s="79" t="s">
        <v>932</v>
      </c>
      <c r="D28" s="81" t="s">
        <v>933</v>
      </c>
      <c r="E28" s="23"/>
      <c r="F28" s="23"/>
      <c r="G28" s="85" t="s">
        <v>934</v>
      </c>
      <c r="H28" s="86">
        <v>46255.0</v>
      </c>
      <c r="I28" s="76" t="s">
        <v>26</v>
      </c>
      <c r="J28" s="79" t="s">
        <v>935</v>
      </c>
      <c r="K28" s="11"/>
      <c r="L28" s="11"/>
      <c r="M28" s="11"/>
      <c r="N28" s="11"/>
      <c r="O28" s="11"/>
      <c r="P28" s="11"/>
      <c r="Q28" s="11"/>
      <c r="R28" s="11"/>
      <c r="S28" s="11"/>
      <c r="T28" s="11"/>
      <c r="U28" s="11"/>
      <c r="V28" s="11"/>
      <c r="W28" s="11"/>
      <c r="X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row>
    <row r="39">
      <c r="A39" s="11"/>
      <c r="B39" s="11"/>
      <c r="C39" s="11"/>
      <c r="D39" s="11"/>
      <c r="E39" s="11"/>
      <c r="F39" s="11"/>
      <c r="G39" s="127"/>
      <c r="H39" s="11"/>
      <c r="I39" s="11"/>
      <c r="J39" s="11"/>
      <c r="K39" s="11"/>
      <c r="L39" s="11"/>
      <c r="M39" s="11"/>
      <c r="N39" s="11"/>
      <c r="O39" s="11"/>
      <c r="P39" s="11"/>
      <c r="Q39" s="11"/>
      <c r="R39" s="11"/>
      <c r="S39" s="11"/>
      <c r="T39" s="11"/>
      <c r="U39" s="11"/>
      <c r="V39" s="11"/>
      <c r="W39" s="11"/>
      <c r="X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row>
  </sheetData>
  <mergeCells count="31">
    <mergeCell ref="B1:D2"/>
    <mergeCell ref="B3:D3"/>
    <mergeCell ref="B4:D4"/>
    <mergeCell ref="B5:D5"/>
    <mergeCell ref="A9:A10"/>
    <mergeCell ref="B9:B10"/>
    <mergeCell ref="C9:C10"/>
    <mergeCell ref="D9:F10"/>
    <mergeCell ref="G9:G10"/>
    <mergeCell ref="H9:H10"/>
    <mergeCell ref="I9:I10"/>
    <mergeCell ref="J9:J10"/>
    <mergeCell ref="B11:J11"/>
    <mergeCell ref="A12:J12"/>
    <mergeCell ref="D13:F13"/>
    <mergeCell ref="A14:J14"/>
    <mergeCell ref="D15:F15"/>
    <mergeCell ref="A16:J16"/>
    <mergeCell ref="D17:F17"/>
    <mergeCell ref="A18:J18"/>
    <mergeCell ref="D19:F19"/>
    <mergeCell ref="A27:J27"/>
    <mergeCell ref="K27:W27"/>
    <mergeCell ref="D20:F20"/>
    <mergeCell ref="D21:F21"/>
    <mergeCell ref="A22:J22"/>
    <mergeCell ref="D23:F23"/>
    <mergeCell ref="D24:F24"/>
    <mergeCell ref="D25:F25"/>
    <mergeCell ref="D26:F26"/>
    <mergeCell ref="D28:F28"/>
  </mergeCells>
  <hyperlinks>
    <hyperlink r:id="rId1" ref="G13"/>
    <hyperlink r:id="rId2" ref="G15"/>
    <hyperlink r:id="rId3" ref="G17"/>
    <hyperlink r:id="rId4" ref="G19"/>
    <hyperlink r:id="rId5" ref="G20"/>
    <hyperlink r:id="rId6" ref="G21"/>
    <hyperlink r:id="rId7" ref="G23"/>
    <hyperlink r:id="rId8" ref="G24"/>
    <hyperlink r:id="rId9" ref="G25"/>
    <hyperlink r:id="rId10" ref="G26"/>
    <hyperlink r:id="rId11" ref="G28"/>
  </hyperlinks>
  <drawing r:id="rId1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75"/>
    <col customWidth="1" min="2" max="2" width="19.13"/>
    <col customWidth="1" min="3" max="3" width="50.38"/>
    <col customWidth="1" min="6" max="6" width="19.0"/>
    <col customWidth="1" min="7" max="7" width="18.88"/>
    <col customWidth="1" min="8" max="8" width="15.88"/>
    <col customWidth="1" min="9" max="9" width="15.5"/>
    <col customWidth="1" min="10" max="10" width="21.38"/>
  </cols>
  <sheetData>
    <row r="1">
      <c r="A1" s="4" t="s">
        <v>2</v>
      </c>
      <c r="B1" s="6"/>
      <c r="E1" s="6"/>
      <c r="F1" s="6"/>
      <c r="G1" s="6"/>
      <c r="H1" s="6"/>
      <c r="I1" s="6"/>
      <c r="J1" s="6"/>
      <c r="K1" s="11"/>
      <c r="L1" s="11"/>
      <c r="M1" s="11"/>
      <c r="N1" s="11"/>
      <c r="O1" s="11"/>
      <c r="P1" s="11"/>
      <c r="Q1" s="11"/>
      <c r="R1" s="11"/>
      <c r="S1" s="11"/>
      <c r="T1" s="11"/>
      <c r="U1" s="11"/>
      <c r="V1" s="11"/>
      <c r="W1" s="11"/>
      <c r="X1" s="11"/>
    </row>
    <row r="2">
      <c r="A2" s="6"/>
      <c r="B2" s="14"/>
      <c r="C2" s="14"/>
      <c r="D2" s="14"/>
      <c r="E2" s="6"/>
      <c r="F2" s="6"/>
      <c r="G2" s="6"/>
      <c r="H2" s="6"/>
      <c r="I2" s="6"/>
      <c r="J2" s="6"/>
      <c r="K2" s="11"/>
      <c r="L2" s="11"/>
      <c r="M2" s="11"/>
      <c r="N2" s="11"/>
      <c r="O2" s="11"/>
      <c r="P2" s="11"/>
      <c r="Q2" s="11"/>
      <c r="R2" s="11"/>
      <c r="S2" s="11"/>
      <c r="T2" s="11"/>
      <c r="U2" s="11"/>
      <c r="V2" s="11"/>
      <c r="W2" s="11"/>
      <c r="X2" s="11"/>
    </row>
    <row r="3">
      <c r="A3" s="18" t="s">
        <v>8</v>
      </c>
      <c r="B3" s="21" t="s">
        <v>10</v>
      </c>
      <c r="C3" s="23"/>
      <c r="D3" s="25"/>
      <c r="E3" s="6"/>
      <c r="F3" s="6"/>
      <c r="G3" s="6"/>
      <c r="H3" s="6"/>
      <c r="I3" s="11"/>
      <c r="J3" s="11"/>
      <c r="K3" s="11"/>
      <c r="L3" s="11"/>
      <c r="M3" s="11"/>
      <c r="N3" s="11"/>
      <c r="O3" s="11"/>
      <c r="P3" s="11"/>
      <c r="Q3" s="11"/>
      <c r="R3" s="11"/>
      <c r="S3" s="11"/>
      <c r="T3" s="11"/>
      <c r="U3" s="11"/>
      <c r="V3" s="11"/>
      <c r="W3" s="11"/>
      <c r="X3" s="11"/>
    </row>
    <row r="4">
      <c r="A4" s="18" t="s">
        <v>13</v>
      </c>
      <c r="B4" s="28" t="s">
        <v>936</v>
      </c>
      <c r="C4" s="23"/>
      <c r="D4" s="25"/>
      <c r="E4" s="6"/>
      <c r="F4" s="6"/>
      <c r="G4" s="6"/>
      <c r="H4" s="6"/>
      <c r="I4" s="11"/>
      <c r="J4" s="11"/>
      <c r="K4" s="11"/>
      <c r="L4" s="11"/>
      <c r="M4" s="11"/>
      <c r="N4" s="11"/>
      <c r="O4" s="11"/>
      <c r="P4" s="11"/>
      <c r="Q4" s="11"/>
      <c r="R4" s="11"/>
      <c r="S4" s="11"/>
      <c r="T4" s="11"/>
      <c r="U4" s="11"/>
      <c r="V4" s="11"/>
      <c r="W4" s="11"/>
      <c r="X4" s="11"/>
    </row>
    <row r="5">
      <c r="A5" s="18" t="s">
        <v>17</v>
      </c>
      <c r="B5" s="21" t="s">
        <v>937</v>
      </c>
      <c r="C5" s="23"/>
      <c r="D5" s="25"/>
      <c r="E5" s="6"/>
      <c r="F5" s="6"/>
      <c r="G5" s="6"/>
      <c r="H5" s="6"/>
      <c r="I5" s="11"/>
      <c r="J5" s="11"/>
      <c r="K5" s="11"/>
      <c r="L5" s="11"/>
      <c r="M5" s="11"/>
      <c r="N5" s="11"/>
      <c r="O5" s="11"/>
      <c r="P5" s="11"/>
      <c r="Q5" s="11"/>
      <c r="R5" s="11"/>
      <c r="S5" s="11"/>
      <c r="T5" s="11"/>
      <c r="U5" s="11"/>
      <c r="V5" s="11"/>
      <c r="W5" s="11"/>
      <c r="X5" s="11"/>
    </row>
    <row r="6">
      <c r="A6" s="37" t="s">
        <v>26</v>
      </c>
      <c r="B6" s="40">
        <v>4.0</v>
      </c>
      <c r="C6" s="43" t="s">
        <v>29</v>
      </c>
      <c r="D6" s="45">
        <v>0.0</v>
      </c>
      <c r="E6" s="6"/>
      <c r="F6" s="6"/>
      <c r="G6" s="6"/>
      <c r="H6" s="6"/>
      <c r="I6" s="11"/>
      <c r="J6" s="11"/>
      <c r="K6" s="11"/>
      <c r="L6" s="11"/>
      <c r="M6" s="11"/>
      <c r="N6" s="11"/>
      <c r="O6" s="11"/>
      <c r="P6" s="11"/>
      <c r="Q6" s="11"/>
      <c r="R6" s="11"/>
      <c r="S6" s="11"/>
      <c r="T6" s="11"/>
      <c r="U6" s="11"/>
      <c r="V6" s="11"/>
      <c r="W6" s="11"/>
      <c r="X6" s="11"/>
    </row>
    <row r="7">
      <c r="A7" s="37" t="s">
        <v>28</v>
      </c>
      <c r="B7" s="40">
        <v>0.0</v>
      </c>
      <c r="C7" s="48" t="s">
        <v>34</v>
      </c>
      <c r="D7" s="45">
        <v>4.0</v>
      </c>
      <c r="E7" s="6"/>
      <c r="F7" s="6"/>
      <c r="G7" s="6"/>
      <c r="H7" s="6"/>
      <c r="I7" s="11"/>
      <c r="J7" s="11"/>
      <c r="K7" s="11"/>
      <c r="L7" s="11"/>
      <c r="M7" s="11"/>
      <c r="N7" s="11"/>
      <c r="O7" s="11"/>
      <c r="P7" s="11"/>
      <c r="Q7" s="11"/>
      <c r="R7" s="11"/>
      <c r="S7" s="11"/>
      <c r="T7" s="11"/>
      <c r="U7" s="11"/>
      <c r="V7" s="11"/>
      <c r="W7" s="11"/>
      <c r="X7" s="11"/>
    </row>
    <row r="8">
      <c r="A8" s="51"/>
      <c r="B8" s="52"/>
      <c r="C8" s="52"/>
      <c r="D8" s="52"/>
      <c r="E8" s="6"/>
      <c r="F8" s="6"/>
      <c r="G8" s="6"/>
      <c r="H8" s="6"/>
      <c r="I8" s="53"/>
      <c r="J8" s="53"/>
      <c r="K8" s="11"/>
      <c r="L8" s="11"/>
      <c r="M8" s="11"/>
      <c r="N8" s="11"/>
      <c r="O8" s="11"/>
      <c r="P8" s="11"/>
      <c r="Q8" s="11"/>
      <c r="R8" s="11"/>
      <c r="S8" s="11"/>
      <c r="T8" s="11"/>
      <c r="U8" s="11"/>
      <c r="V8" s="11"/>
      <c r="W8" s="11"/>
      <c r="X8" s="11"/>
    </row>
    <row r="9">
      <c r="A9" s="54" t="s">
        <v>36</v>
      </c>
      <c r="B9" s="56" t="s">
        <v>38</v>
      </c>
      <c r="C9" s="54" t="s">
        <v>39</v>
      </c>
      <c r="D9" s="57" t="s">
        <v>40</v>
      </c>
      <c r="G9" s="54" t="s">
        <v>41</v>
      </c>
      <c r="H9" s="59" t="s">
        <v>42</v>
      </c>
      <c r="I9" s="59" t="s">
        <v>43</v>
      </c>
      <c r="J9" s="59" t="s">
        <v>44</v>
      </c>
      <c r="K9" s="11"/>
      <c r="L9" s="11"/>
      <c r="M9" s="11"/>
      <c r="N9" s="11"/>
      <c r="O9" s="11"/>
      <c r="P9" s="11"/>
      <c r="Q9" s="11"/>
      <c r="R9" s="11"/>
      <c r="S9" s="11"/>
      <c r="T9" s="11"/>
      <c r="U9" s="11"/>
      <c r="V9" s="11"/>
      <c r="W9" s="11"/>
      <c r="X9" s="11"/>
    </row>
    <row r="10">
      <c r="A10" s="63"/>
      <c r="B10" s="63"/>
      <c r="C10" s="63"/>
      <c r="D10" s="65"/>
      <c r="E10" s="14"/>
      <c r="F10" s="14"/>
      <c r="G10" s="63"/>
      <c r="H10" s="63"/>
      <c r="I10" s="63"/>
      <c r="J10" s="63"/>
      <c r="K10" s="11"/>
      <c r="L10" s="11"/>
      <c r="M10" s="11"/>
      <c r="N10" s="11"/>
      <c r="O10" s="11"/>
      <c r="P10" s="11"/>
      <c r="Q10" s="11"/>
      <c r="R10" s="11"/>
      <c r="S10" s="11"/>
      <c r="T10" s="11"/>
      <c r="U10" s="11"/>
      <c r="V10" s="11"/>
      <c r="W10" s="11"/>
      <c r="X10" s="11"/>
    </row>
    <row r="11">
      <c r="A11" s="69"/>
      <c r="B11" s="136"/>
      <c r="C11" s="23"/>
      <c r="D11" s="23"/>
      <c r="E11" s="23"/>
      <c r="F11" s="23"/>
      <c r="G11" s="23"/>
      <c r="H11" s="23"/>
      <c r="I11" s="23"/>
      <c r="J11" s="25"/>
      <c r="K11" s="11"/>
      <c r="L11" s="11"/>
      <c r="M11" s="11"/>
      <c r="N11" s="11"/>
      <c r="O11" s="11"/>
      <c r="P11" s="11"/>
      <c r="Q11" s="11"/>
      <c r="R11" s="11"/>
      <c r="S11" s="11"/>
      <c r="T11" s="11"/>
      <c r="U11" s="11"/>
      <c r="V11" s="11"/>
      <c r="W11" s="11"/>
      <c r="X11" s="11"/>
    </row>
    <row r="12">
      <c r="A12" s="74" t="s">
        <v>938</v>
      </c>
      <c r="B12" s="23"/>
      <c r="C12" s="23"/>
      <c r="D12" s="23"/>
      <c r="E12" s="23"/>
      <c r="F12" s="23"/>
      <c r="G12" s="23"/>
      <c r="H12" s="23"/>
      <c r="I12" s="23"/>
      <c r="J12" s="25"/>
      <c r="K12" s="11"/>
      <c r="L12" s="11"/>
      <c r="M12" s="11"/>
      <c r="N12" s="11"/>
      <c r="O12" s="11"/>
      <c r="P12" s="11"/>
      <c r="Q12" s="11"/>
      <c r="R12" s="11"/>
      <c r="S12" s="11"/>
      <c r="T12" s="11"/>
      <c r="U12" s="11"/>
      <c r="V12" s="11"/>
      <c r="W12" s="11"/>
      <c r="X12" s="11"/>
    </row>
    <row r="13" ht="156.75" customHeight="1">
      <c r="A13" s="76" t="s">
        <v>939</v>
      </c>
      <c r="B13" s="77" t="s">
        <v>940</v>
      </c>
      <c r="C13" s="79" t="s">
        <v>941</v>
      </c>
      <c r="D13" s="81" t="s">
        <v>942</v>
      </c>
      <c r="E13" s="23"/>
      <c r="F13" s="23"/>
      <c r="G13" s="85" t="s">
        <v>943</v>
      </c>
      <c r="H13" s="86">
        <v>46256.0</v>
      </c>
      <c r="I13" s="76" t="s">
        <v>26</v>
      </c>
      <c r="J13" s="79" t="s">
        <v>944</v>
      </c>
      <c r="K13" s="11"/>
      <c r="L13" s="11"/>
      <c r="M13" s="11"/>
      <c r="N13" s="11"/>
      <c r="O13" s="11"/>
      <c r="P13" s="11"/>
      <c r="Q13" s="11"/>
      <c r="R13" s="11"/>
      <c r="S13" s="11"/>
      <c r="T13" s="11"/>
      <c r="U13" s="11"/>
      <c r="V13" s="11"/>
      <c r="W13" s="11"/>
      <c r="X13" s="11"/>
    </row>
    <row r="14" ht="15.75" customHeight="1">
      <c r="A14" s="74" t="s">
        <v>945</v>
      </c>
      <c r="B14" s="23"/>
      <c r="C14" s="23"/>
      <c r="D14" s="23"/>
      <c r="E14" s="23"/>
      <c r="F14" s="23"/>
      <c r="G14" s="23"/>
      <c r="H14" s="23"/>
      <c r="I14" s="23"/>
      <c r="J14" s="25"/>
      <c r="K14" s="11"/>
      <c r="L14" s="11"/>
      <c r="M14" s="11"/>
      <c r="N14" s="11"/>
      <c r="O14" s="11"/>
      <c r="P14" s="11"/>
      <c r="Q14" s="11"/>
      <c r="R14" s="11"/>
      <c r="S14" s="11"/>
      <c r="T14" s="11"/>
      <c r="U14" s="11"/>
      <c r="V14" s="11"/>
      <c r="W14" s="11"/>
      <c r="X14" s="11"/>
    </row>
    <row r="15" ht="177.0" customHeight="1">
      <c r="A15" s="76" t="s">
        <v>946</v>
      </c>
      <c r="B15" s="77" t="s">
        <v>947</v>
      </c>
      <c r="C15" s="79" t="s">
        <v>948</v>
      </c>
      <c r="D15" s="81" t="s">
        <v>949</v>
      </c>
      <c r="E15" s="23"/>
      <c r="F15" s="23"/>
      <c r="G15" s="85" t="s">
        <v>950</v>
      </c>
      <c r="H15" s="86">
        <v>46256.0</v>
      </c>
      <c r="I15" s="76" t="s">
        <v>26</v>
      </c>
      <c r="J15" s="79" t="s">
        <v>951</v>
      </c>
      <c r="K15" s="11"/>
      <c r="L15" s="11"/>
      <c r="M15" s="11"/>
      <c r="N15" s="11"/>
      <c r="O15" s="11"/>
      <c r="P15" s="11"/>
      <c r="Q15" s="11"/>
      <c r="R15" s="11"/>
      <c r="S15" s="11"/>
      <c r="T15" s="11"/>
      <c r="U15" s="11"/>
      <c r="V15" s="11"/>
      <c r="W15" s="11"/>
      <c r="X15" s="11"/>
    </row>
    <row r="16" ht="165.75" customHeight="1">
      <c r="A16" s="76" t="s">
        <v>952</v>
      </c>
      <c r="B16" s="77" t="s">
        <v>953</v>
      </c>
      <c r="C16" s="79" t="s">
        <v>954</v>
      </c>
      <c r="D16" s="81" t="s">
        <v>955</v>
      </c>
      <c r="E16" s="23"/>
      <c r="F16" s="23"/>
      <c r="G16" s="85" t="s">
        <v>956</v>
      </c>
      <c r="H16" s="86">
        <v>46256.0</v>
      </c>
      <c r="I16" s="76" t="s">
        <v>26</v>
      </c>
      <c r="J16" s="79" t="s">
        <v>957</v>
      </c>
      <c r="K16" s="11"/>
      <c r="L16" s="11"/>
      <c r="M16" s="11"/>
      <c r="N16" s="11"/>
      <c r="O16" s="11"/>
      <c r="P16" s="11"/>
      <c r="Q16" s="11"/>
      <c r="R16" s="11"/>
      <c r="S16" s="11"/>
      <c r="T16" s="11"/>
      <c r="U16" s="11"/>
      <c r="V16" s="11"/>
      <c r="W16" s="11"/>
      <c r="X16" s="11"/>
    </row>
    <row r="17" ht="155.25" customHeight="1">
      <c r="A17" s="76" t="s">
        <v>958</v>
      </c>
      <c r="B17" s="77" t="s">
        <v>959</v>
      </c>
      <c r="C17" s="79" t="s">
        <v>960</v>
      </c>
      <c r="D17" s="81" t="s">
        <v>961</v>
      </c>
      <c r="E17" s="23"/>
      <c r="F17" s="23"/>
      <c r="G17" s="85" t="s">
        <v>962</v>
      </c>
      <c r="H17" s="86">
        <v>46256.0</v>
      </c>
      <c r="I17" s="76" t="s">
        <v>26</v>
      </c>
      <c r="J17" s="79" t="s">
        <v>963</v>
      </c>
      <c r="K17" s="11"/>
      <c r="L17" s="11"/>
      <c r="M17" s="11"/>
      <c r="N17" s="11"/>
      <c r="O17" s="11"/>
      <c r="P17" s="11"/>
      <c r="Q17" s="11"/>
      <c r="R17" s="11"/>
      <c r="S17" s="11"/>
      <c r="T17" s="11"/>
      <c r="U17" s="11"/>
      <c r="V17" s="11"/>
      <c r="W17" s="11"/>
      <c r="X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row>
    <row r="27">
      <c r="A27" s="11"/>
      <c r="B27" s="11"/>
      <c r="C27" s="11"/>
      <c r="D27" s="11"/>
      <c r="E27" s="11"/>
      <c r="F27" s="11"/>
      <c r="G27" s="127"/>
      <c r="H27" s="11"/>
      <c r="I27" s="11"/>
      <c r="J27" s="11"/>
      <c r="K27" s="11"/>
      <c r="L27" s="11"/>
      <c r="M27" s="11"/>
      <c r="N27" s="11"/>
      <c r="O27" s="11"/>
      <c r="P27" s="11"/>
      <c r="Q27" s="11"/>
      <c r="R27" s="11"/>
      <c r="S27" s="11"/>
      <c r="T27" s="11"/>
      <c r="U27" s="11"/>
      <c r="V27" s="11"/>
      <c r="W27" s="11"/>
      <c r="X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row>
  </sheetData>
  <mergeCells count="19">
    <mergeCell ref="B1:D2"/>
    <mergeCell ref="B3:D3"/>
    <mergeCell ref="B4:D4"/>
    <mergeCell ref="B5:D5"/>
    <mergeCell ref="A9:A10"/>
    <mergeCell ref="B9:B10"/>
    <mergeCell ref="C9:C10"/>
    <mergeCell ref="D13:F13"/>
    <mergeCell ref="A14:J14"/>
    <mergeCell ref="D15:F15"/>
    <mergeCell ref="D16:F16"/>
    <mergeCell ref="D17:F17"/>
    <mergeCell ref="D9:F10"/>
    <mergeCell ref="G9:G10"/>
    <mergeCell ref="H9:H10"/>
    <mergeCell ref="I9:I10"/>
    <mergeCell ref="J9:J10"/>
    <mergeCell ref="B11:J11"/>
    <mergeCell ref="A12:J12"/>
  </mergeCells>
  <hyperlinks>
    <hyperlink r:id="rId1" ref="G13"/>
    <hyperlink r:id="rId2" ref="G15"/>
    <hyperlink r:id="rId3" ref="G16"/>
    <hyperlink r:id="rId4" ref="G17"/>
  </hyperlinks>
  <drawing r:id="rId5"/>
</worksheet>
</file>