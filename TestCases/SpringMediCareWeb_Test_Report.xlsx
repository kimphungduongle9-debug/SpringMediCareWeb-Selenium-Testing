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5"/>
    <sheet state="visible" name="TEST SUMMARY" sheetId="2" r:id="rId6"/>
    <sheet state="visible" name="Test Report" sheetId="3" r:id="rId7"/>
    <sheet state="visible" name="LOG" sheetId="4" r:id="rId8"/>
    <sheet state="visible" name="REGISTER" sheetId="5" r:id="rId9"/>
    <sheet state="visible" name="BOOKING" sheetId="6" r:id="rId10"/>
    <sheet state="visible" name="APPOINTMENT" sheetId="7" r:id="rId11"/>
    <sheet state="visible" name="MEDICAL" sheetId="8" r:id="rId12"/>
    <sheet state="visible" name="DS_ADMIN" sheetId="9" r:id="rId13"/>
    <sheet state="visible" name="MYAPPOINTMENT" sheetId="10" r:id="rId14"/>
    <sheet state="visible" name="HISTORY" sheetId="11" r:id="rId15"/>
    <sheet state="visible" name="WORKSCHEDULE" sheetId="12" r:id="rId16"/>
    <sheet state="visible" name="NOTIFICATION" sheetId="13" r:id="rId17"/>
    <sheet state="visible" name="DOCTOR" sheetId="14" r:id="rId18"/>
    <sheet state="visible" name="SPECIALTY" sheetId="15" r:id="rId19"/>
    <sheet state="visible" name="DRUG_CATEGORY" sheetId="16" r:id="rId20"/>
    <sheet state="visible" name="STAT" sheetId="17" r:id="rId21"/>
  </sheets>
  <definedNames>
    <definedName name="ACTION">#REF!</definedName>
  </definedNames>
  <calcPr/>
</workbook>
</file>

<file path=xl/sharedStrings.xml><?xml version="1.0" encoding="utf-8"?>
<sst xmlns="http://schemas.openxmlformats.org/spreadsheetml/2006/main" count="1411" uniqueCount="970">
  <si>
    <t>TEST SUMMARY</t>
  </si>
  <si>
    <t>TEST REPORT</t>
  </si>
  <si>
    <r>
      <rPr>
        <rFont val="Tahoma"/>
        <b/>
        <color rgb="FF993300"/>
        <sz val="13.0"/>
      </rPr>
      <t>Project Name:</t>
    </r>
    <r>
      <rPr>
        <rFont val="Tahoma"/>
        <b/>
        <color theme="1"/>
        <sz val="13.0"/>
      </rPr>
      <t xml:space="preserve"> SpringMediCareWeb - Testing</t>
    </r>
  </si>
  <si>
    <t>TEST CASE</t>
  </si>
  <si>
    <t>Version:</t>
  </si>
  <si>
    <t>Note:</t>
  </si>
  <si>
    <t>1.0</t>
  </si>
  <si>
    <t>Final test execution summary after retesting.</t>
  </si>
  <si>
    <t>Test Result Summary:</t>
  </si>
  <si>
    <t>Date</t>
  </si>
  <si>
    <t>Issue date:</t>
  </si>
  <si>
    <t>No.</t>
  </si>
  <si>
    <t>Module</t>
  </si>
  <si>
    <t>Total TC</t>
  </si>
  <si>
    <t>Initial Pass</t>
  </si>
  <si>
    <t>Initial Fail</t>
  </si>
  <si>
    <t>Retest Pass</t>
  </si>
  <si>
    <t>No</t>
  </si>
  <si>
    <t>Project Name:</t>
  </si>
  <si>
    <t>Final Pass</t>
  </si>
  <si>
    <t>SpringMediCare</t>
  </si>
  <si>
    <t>Module code</t>
  </si>
  <si>
    <t>Final Fail</t>
  </si>
  <si>
    <t>Pass</t>
  </si>
  <si>
    <t>Fail</t>
  </si>
  <si>
    <t>Pending</t>
  </si>
  <si>
    <t>Number of  test cases</t>
  </si>
  <si>
    <t>Login</t>
  </si>
  <si>
    <t>Project Code:</t>
  </si>
  <si>
    <t>SMC</t>
  </si>
  <si>
    <t>Lịch sử thay đổi</t>
  </si>
  <si>
    <t>Ngày</t>
  </si>
  <si>
    <t>Phiên bản</t>
  </si>
  <si>
    <t>Vị trí thay đổi</t>
  </si>
  <si>
    <t>Mô tả thay đổi</t>
  </si>
  <si>
    <t>Người thực hiện</t>
  </si>
  <si>
    <t>LOG</t>
  </si>
  <si>
    <t>Kiểm thử lần đầu chức năng Đăng nhập: 10 test case, gồm 9 Pass và 1 Fail; sau khi khắc phục, test case lỗi được Retest và đạt Pass.</t>
  </si>
  <si>
    <t>Dương Lê Kim Phụng</t>
  </si>
  <si>
    <t>1.1</t>
  </si>
  <si>
    <t>REGISTER</t>
  </si>
  <si>
    <t>Kiểm thử lần đầu chức năng Đăng ký: 19 test case, gồm 11 Pass và 8 Fail.</t>
  </si>
  <si>
    <t>1.2</t>
  </si>
  <si>
    <t>Retest 8 test case Đăng ký bị Fail sau khi khắc phục; tất cả đều đạt Pass.</t>
  </si>
  <si>
    <t>1.3</t>
  </si>
  <si>
    <t>BOOKING</t>
  </si>
  <si>
    <t>Kiểm thử lần đầu chức năng Đặt lịch: 8 test case, gồm 7 Pass và 1 Fail; test case lỗi được Retest và đạt Pass.</t>
  </si>
  <si>
    <t>Register</t>
  </si>
  <si>
    <t>1.4</t>
  </si>
  <si>
    <t>APPOINTMENT</t>
  </si>
  <si>
    <t>Kiểm thử lần đầu chức năng Quản lý lịch hẹn: 9 test case, gồm 5 Pass và 4 Fail.</t>
  </si>
  <si>
    <t>1.5</t>
  </si>
  <si>
    <t>APPOINTMENT, MEDICAL</t>
  </si>
  <si>
    <t>Retest các test case Lịch hẹn đã được khắc phục; đồng thời thực hiện kiểm thử lần đầu chức năng Hồ sơ y tế với 9 test case, gồm 7 Pass và 2 Fail.</t>
  </si>
  <si>
    <t>1.6</t>
  </si>
  <si>
    <t>MEDICAL</t>
  </si>
  <si>
    <t>Retest 2 test case Hồ sơ y tế bị Fail sau khi khắc phục; cả 2 đều đạt Pass.</t>
  </si>
  <si>
    <t>1.7</t>
  </si>
  <si>
    <t>DS_ADMIN</t>
  </si>
  <si>
    <t>Kiểm thử lần đầu chức năng Quản lý lịch làm việc bác sĩ; ghi nhận các test case Pass và các trường hợp Fail cần khắc phục.</t>
  </si>
  <si>
    <t>System Name：</t>
  </si>
  <si>
    <t>1.8</t>
  </si>
  <si>
    <t>Retest các test case Quản lý lịch làm việc bác sĩ đã được khắc phục; các trường hợp được kiểm tra lại đạt Pass.</t>
  </si>
  <si>
    <t>SpringMediCareWeb</t>
  </si>
  <si>
    <t>1.9</t>
  </si>
  <si>
    <t>Tiếp tục kiểm thử chức năng Quản lý lịch làm việc bác sĩ và Retest trường hợp lỗi sau khi khắc phục.</t>
  </si>
  <si>
    <t>1.10</t>
  </si>
  <si>
    <t>MYAPPOINTMENT</t>
  </si>
  <si>
    <t>Kiểm thử chức năng Lịch hẹn của tôi: 5 test case và tất cả đều đạt Pass.</t>
  </si>
  <si>
    <t>Module Code：</t>
  </si>
  <si>
    <t>1.11</t>
  </si>
  <si>
    <t>HISTORY</t>
  </si>
  <si>
    <t>AUTH - Login</t>
  </si>
  <si>
    <t>Kiểm thử lần đầu chức năng Lịch sử khám bệnh; ghi nhận 1 test case Fail cần khắc phục.</t>
  </si>
  <si>
    <t>Booking</t>
  </si>
  <si>
    <t>1.12</t>
  </si>
  <si>
    <t>HISTORY, WORKSCHEDULE</t>
  </si>
  <si>
    <t>Tiếp tục kiểm thử chức năng Lịch sử khám bệnh và Lịch làm việc của bác sĩ; Retest test case TC-MEDICALHISTORY-004 sau khi khắc phục và đạt Pass.</t>
  </si>
  <si>
    <t>1.13</t>
  </si>
  <si>
    <t>NOTIFICATION</t>
  </si>
  <si>
    <t>Kiểm thử lần đầu chức năng Thông báo; ghi nhận các trường hợp Pass và Fail để tiến hành khắc phục, đồng thời Retest một số test case đã sửa.</t>
  </si>
  <si>
    <t>1.14</t>
  </si>
  <si>
    <t>Tiếp tục Retest các test case Thông báo đã được khắc phục; các trường hợp TC-NOTIFICATION-006 và TC-NOTIFICATION-007 đạt Pass.</t>
  </si>
  <si>
    <t>Test requirement:</t>
  </si>
  <si>
    <t>Login and Authentication</t>
  </si>
  <si>
    <t>1.15</t>
  </si>
  <si>
    <t>BOOKING, DOCTOR, SPECIALTY</t>
  </si>
  <si>
    <t>Bổ sung kiểm thử chức năng Đặt lịch, đồng thời thực hiện kiểm thử chức năng Quản lý bác sĩ và Quản lý chuyên khoa.</t>
  </si>
  <si>
    <t>1.17</t>
  </si>
  <si>
    <t>DRUG_CATEGORY</t>
  </si>
  <si>
    <t>Kiểm thử chức năng Quản lý danh mục thuốc; ghi nhận các trường hợp Pass và trường hợp lỗi cần khắc phục.</t>
  </si>
  <si>
    <t>1.18</t>
  </si>
  <si>
    <t>STAT</t>
  </si>
  <si>
    <t>Kiểm thử chức năng Thống kê; các test case đã thực hiện đều đạt Pass.</t>
  </si>
  <si>
    <t>Appointment</t>
  </si>
  <si>
    <t>2,0</t>
  </si>
  <si>
    <t>TEST SUMMARY, Test Report, Cover</t>
  </si>
  <si>
    <t>Tổng hợp kết quả kiểm thử, cập nhật Test Summary, Test Report và hoàn thiện tài liệu test case.</t>
  </si>
  <si>
    <t>Medical</t>
  </si>
  <si>
    <t>Number of test cases:</t>
  </si>
  <si>
    <t>Doctor Schedule Admin</t>
  </si>
  <si>
    <t>ID</t>
  </si>
  <si>
    <t>Test Case Description</t>
  </si>
  <si>
    <t>Test Case Procedure</t>
  </si>
  <si>
    <t>Expected Results</t>
  </si>
  <si>
    <t>My Appointment</t>
  </si>
  <si>
    <t>Actual Results</t>
  </si>
  <si>
    <t>Test date</t>
  </si>
  <si>
    <t>History</t>
  </si>
  <si>
    <t>Status</t>
  </si>
  <si>
    <t>Note</t>
  </si>
  <si>
    <t>Retest Date</t>
  </si>
  <si>
    <t>Retest Status</t>
  </si>
  <si>
    <t>Retest Evidence</t>
  </si>
  <si>
    <t>Work Schedule</t>
  </si>
  <si>
    <t>Notification</t>
  </si>
  <si>
    <t>Doctor</t>
  </si>
  <si>
    <t>Specialty</t>
  </si>
  <si>
    <t>Drug Category</t>
  </si>
  <si>
    <t>1. Kiểm tra đăng ký hợp lệ</t>
  </si>
  <si>
    <t>TC-LOGIN-001</t>
  </si>
  <si>
    <t>Statistics</t>
  </si>
  <si>
    <t>Kiểm tra đăng nhập thành công bằng tên đăng nhập hợp lệ</t>
  </si>
  <si>
    <t>1: Mở trang đăng nhập 
2: Nhập tài khoản hợp lệ 
3: Nhập đúng mật khẩu 
4: Nhấn Đăng nhập 
5: Kiểm tra đăng nhập thành công, chuyển đúng trang và hiển thị trạng thái đã đăng nhập</t>
  </si>
  <si>
    <t>Hệ thống đăng nhập thành công, chuyển đến trang chủ, hiển thị tên người dùng và nút Đăng xuất.</t>
  </si>
  <si>
    <t>TCLog1_1,
TCLog1_2</t>
  </si>
  <si>
    <t>Tổng</t>
  </si>
  <si>
    <t>Đăng nhập thành công, hệ thống chuyển trang hiện giao diện người dùng</t>
  </si>
  <si>
    <t>TC-LOGIN-002</t>
  </si>
  <si>
    <t>Kiểm tra đăng nhập thành công bằng email hợp lệ</t>
  </si>
  <si>
    <t>1: Mở trang đăng nhập 
2: Nhập email hợp lệ 
3: Nhập đúng mật khẩu 
4: Nhấn Đăng nhập 
5: Kiểm tra đăng nhập thành công và chuyển đến trang phù hợp với vai trò</t>
  </si>
  <si>
    <t>Hệ thống đăng nhập thành công và chuyển đến trang chính đúng với vai trò người dùng</t>
  </si>
  <si>
    <t>TCLog2</t>
  </si>
  <si>
    <t>Hệ thống không cho đăng nhập bằng email đã tồn tại và hiển thị thông báo “Sai tên đăng nhập hoặc mật khẩu”.</t>
  </si>
  <si>
    <t>TCLog2Retest_1,TCLog2Retest_2</t>
  </si>
  <si>
    <t>2. Kiểm tra validation dữ liệu bắt buộc</t>
  </si>
  <si>
    <t>TC-LOGIN-003</t>
  </si>
  <si>
    <t>Kiểm tra không thể đăng nhập khi bỏ trống tên đăng nhập</t>
  </si>
  <si>
    <t>1: Mở trang đăng nhập 
2: Để trống tên đăng nhập 
3: Nhập mật khẩu 
4: Nhấn Đăng nhập 
5: Kiểm tra thông báo validation và xác nhận không đăng nhập</t>
  </si>
  <si>
    <t>Hệ thống hiển thị thông báo yêu cầu nhập tài khoản và không cho đăng nhập</t>
  </si>
  <si>
    <t>TCLog3</t>
  </si>
  <si>
    <t>Validation hoạt động đúng khi người dùng để trống tên đăng nhập.</t>
  </si>
  <si>
    <t>TC-LOGIN-004</t>
  </si>
  <si>
    <t>Kiểm tra không thể đăng nhập khi bỏ trống mật khẩu</t>
  </si>
  <si>
    <t>AUTH - Register</t>
  </si>
  <si>
    <t>1: Mở trang đăng nhập 
2: Nhập tên đăng nhập hợp lệ 
3: Để trống mật khẩu 
4: Nhấn Đăng nhập 
5: Kiểm tra thông báo validation và xác nhận không đăng nhập</t>
  </si>
  <si>
    <t>Hệ thống hiển thị thông báo yêu cầu nhập mật khẩu và không cho đăng nhập</t>
  </si>
  <si>
    <t>User Registration</t>
  </si>
  <si>
    <t>TCLog4</t>
  </si>
  <si>
    <t>Validation hoạt động đúng khi người dùng để trống mật khẩu</t>
  </si>
  <si>
    <t>TC-LOGIN-005</t>
  </si>
  <si>
    <t>Kiểm tra không thể đăng nhập khi bỏ trống tên đăng nhập và mật khẩu</t>
  </si>
  <si>
    <t>1: Mở trang đăng nhập 
2: Để trống tên đăng nhập 
3: Để trống mật khẩu 
4: Nhấn Đăng nhập 
5: Kiểm tra validation các trường bắt buộc và xác nhận không đăng nhập</t>
  </si>
  <si>
    <t>TC-REGISTER-001</t>
  </si>
  <si>
    <t>Hệ thống hiển thị thông báo yêu cầu nhập đầy đủ thông tin đăng nhập</t>
  </si>
  <si>
    <t>Kiểm tra đăng ký tài khoản với thông tin hợp lệ</t>
  </si>
  <si>
    <t>1: Mở trang đăng ký. 
2: Nhập đầy đủ thông tin hợp lệ. 
3: Chọn ảnh đại diện hợp lệ. 
4: Nhấn nút Đăng ký. 
5: Kiểm tra kết quả sau khi nhấn Đăng ký.</t>
  </si>
  <si>
    <t>TCLog5</t>
  </si>
  <si>
    <t>Hệ thống tạo tài khoản thành công, hiển thị thông báo phù hợp và chuyển người dùng đến trang đăng nhập.</t>
  </si>
  <si>
    <t>TCRegister1_1, TCRegister1_2, TCRegister1_3</t>
  </si>
  <si>
    <t>Đăng ký thành công, hệ thống chuyển trang đăng nhập</t>
  </si>
  <si>
    <t>Sub total</t>
  </si>
  <si>
    <t>TC-REGISTER-002</t>
  </si>
  <si>
    <t>Kiểm tra đăng ký khi không chọn ảnh đại diện</t>
  </si>
  <si>
    <t>1: Mở trang đăng ký. 
2: Nhập đầy đủ thông tin hợp lệ. 
3: Không chọn ảnh đại diện. 
4: Nhấn nút Đăng ký. 
5: Kiểm tra kết quả sau khi nhấn Đăng ký.</t>
  </si>
  <si>
    <t>Hệ thống không tạo tài khoản và hiển thị thông báo yêu cầu chọn ảnh đại diện.</t>
  </si>
  <si>
    <t>TCRegister2</t>
  </si>
  <si>
    <t>Hệ thống không cho đăng ký khi chưa chọn ảnh đại diện và hiển thị thông báo yêu cầu chọn ảnh.</t>
  </si>
  <si>
    <t>TC-REGISTER-003</t>
  </si>
  <si>
    <t>Kiểm tra đăng ký khi bỏ trống họ</t>
  </si>
  <si>
    <t>1: Mở trang đăng ký. 
2: Để trống trường Họ. 
3: Nhập hợp lệ các trường còn lại. 
4: Nhấn nút Đăng ký. 
5: Kiểm tra kết quả sau khi nhấn Đăng ký.</t>
  </si>
  <si>
    <t>Hệ thống không tạo tài khoản và hiển thị yêu cầu nhập họ.</t>
  </si>
  <si>
    <t>Test coverage</t>
  </si>
  <si>
    <t>TCRegister3</t>
  </si>
  <si>
    <t>Validation hoạt động đúng khi người dùng để trống mật khẩu và tên đăng nhập</t>
  </si>
  <si>
    <t>%</t>
  </si>
  <si>
    <t>3. Kiểm tra dữ liệu đăng ký không hợp lệ</t>
  </si>
  <si>
    <t>Test successful coverage</t>
  </si>
  <si>
    <t>TC-REGISTER-004</t>
  </si>
  <si>
    <t>Kiểm tra đăng ký khi bỏ trống tên</t>
  </si>
  <si>
    <t>1: Mở trang đăng ký. 
2: Để trống trường Tên. 
3: Nhập hợp lệ các trường còn lại. 
4: Nhấn nút Đăng ký. 
5: Kiểm tra kết quả sau khi nhấn Đăng ký.</t>
  </si>
  <si>
    <t>Hệ thống không tạo tài khoản và hiển thị yêu cầu nhập tên.</t>
  </si>
  <si>
    <t>TCRegister4</t>
  </si>
  <si>
    <t>TC-LOGIN-006</t>
  </si>
  <si>
    <t>Kiểm tra không thể đăng nhập khi nhập sai mật khẩu</t>
  </si>
  <si>
    <t>1: Mở trang đăng nhập 
2: Nhập tên đăng nhập hợp lệ 
3: Nhập mật khẩu sai 
4: Nhấn Đăng nhập 
5: Kiểm tra thông báo lỗi và xác nhận không đăng nhập</t>
  </si>
  <si>
    <t>Hệ thống không cho đăng nhập và hiển thị thông báo sai tài khoản hoặc mật khẩu</t>
  </si>
  <si>
    <t>TCLog6</t>
  </si>
  <si>
    <t>TC-REGISTER-005</t>
  </si>
  <si>
    <t>Kiểm tra đăng ký khi bỏ trống email</t>
  </si>
  <si>
    <t>1: Mở trang đăng ký. 
2: Để trống trường Email. 
3: Nhập hợp lệ các trường còn lại. 
4: Nhấn nút Đăng ký. 
5: Kiểm tra kết quả sau khi nhấn Đăng ký.</t>
  </si>
  <si>
    <t>Hệ thống không tạo tài khoản và hiển thị yêu cầu nhập email.</t>
  </si>
  <si>
    <t>TCRegister5</t>
  </si>
  <si>
    <t>TC-REGISTER-006</t>
  </si>
  <si>
    <t>Kiểm tra đăng ký khi bỏ trống số điện thoại</t>
  </si>
  <si>
    <t>1: Mở trang đăng ký. 
2: Để trống trường Số điện thoại. 
3: Nhập hợp lệ các trường còn lại. 
4: Nhấn nút Đăng ký. 
5: Kiểm tra kết quả sau khi nhấn Đăng ký.</t>
  </si>
  <si>
    <t>Hệ thống không tạo tài khoản và hiển thị yêu cầu nhập số điện thoại.</t>
  </si>
  <si>
    <t>TCRegister6</t>
  </si>
  <si>
    <t>Validation hoạt động đúng khi người dùng nhập sai mật khẩu</t>
  </si>
  <si>
    <t>TC-REGISTER-007</t>
  </si>
  <si>
    <t>Kiểm tra đăng ký khi bỏ trống tên đăng nhập</t>
  </si>
  <si>
    <t>1: Mở trang đăng ký. 
2: Để trống trường Tên đăng nhập. 
3: Nhập hợp lệ các trường còn lại. 
4: Nhấn nút Đăng ký. 
5: Kiểm tra kết quả sau khi nhấn Đăng ký.</t>
  </si>
  <si>
    <t>TC-LOGIN-007</t>
  </si>
  <si>
    <t>Hệ thống không tạo tài khoản và hiển thị yêu cầu nhập tên đăng nhập.</t>
  </si>
  <si>
    <t>TCRegister7</t>
  </si>
  <si>
    <t>Kiểm tra không thể đăng nhập với tài khoản không tồn tại</t>
  </si>
  <si>
    <t>1: Mở trang đăng nhập 
2: Nhập tài khoản không tồn tại 
3: Nhập mật khẩu bất kỳ 
4: Nhấn Đăng nhập 
5: Kiểm tra thông báo lỗi và xác nhận không đăng nhập</t>
  </si>
  <si>
    <t>TCLog7</t>
  </si>
  <si>
    <t>TC-REGISTER-008</t>
  </si>
  <si>
    <t>Kiểm tra đăng ký khi bỏ trống mật khẩu</t>
  </si>
  <si>
    <t>1: Mở trang đăng ký. 
2: Để trống trường Mật khẩu. 
3: Nhập hợp lệ các trường còn lại. 
4: Nhấn nút Đăng ký. 
5: Kiểm tra kết quả sau khi nhấn Đăng ký.</t>
  </si>
  <si>
    <t>Hệ thống không tạo tài khoản và hiển thị yêu cầu nhập mật khẩu.</t>
  </si>
  <si>
    <t>TCRegister8</t>
  </si>
  <si>
    <t>TC-REGISTER-009</t>
  </si>
  <si>
    <t>Kiểm tra đăng ký khi bỏ trống xác nhận mật khẩu</t>
  </si>
  <si>
    <t>1: Mở trang đăng ký. 
2: Để trống trường Xác nhận mật khẩu. 
3: Nhập hợp lệ các trường còn lại. 
4: Nhấn nút Đăng ký. 
5: Kiểm tra kết quả sau khi nhấn Đăng ký.</t>
  </si>
  <si>
    <t>Hệ thống không tạo tài khoản và hiển thị yêu cầu nhập xác nhận mật khẩu.</t>
  </si>
  <si>
    <t>Validation hoạt động đúng khi người dùng nhập sai tên đăng nhập</t>
  </si>
  <si>
    <t>TCRegister9</t>
  </si>
  <si>
    <t xml:space="preserve">4. Kiểm tra xử lý sau khi đăng nhập        </t>
  </si>
  <si>
    <t>3. Kiểm tra định dạng dữ liệu</t>
  </si>
  <si>
    <t>TC-LOGIN-008</t>
  </si>
  <si>
    <t>Kiểm tra đăng xuất thành công sau khi đã đăng nhập</t>
  </si>
  <si>
    <t>1: Đăng nhập thành công 
2: Nhấn Đăng xuất 
3: Kiểm tra đăng xuất thành công và hệ thống chuyển về trạng thái chưa đăng nhập</t>
  </si>
  <si>
    <t>Hệ thống đăng xuất thành công và chuyển về trang đăng nhập hoặc trang chủ</t>
  </si>
  <si>
    <t>TCLog8_1, TCLog8_2</t>
  </si>
  <si>
    <t>TC-REGISTER-010</t>
  </si>
  <si>
    <t>Kiểm tra đăng ký với email sai định dạng</t>
  </si>
  <si>
    <t>1: Mở trang đăng ký. 
2: Nhập email sai định dạng. 
3: Nhập hợp lệ các trường còn lại. 
4: Nhấn nút Đăng ký. 
5: Kiểm tra kết quả sau khi nhấn Đăng ký.</t>
  </si>
  <si>
    <t>Hệ thống không tạo tài khoản và hiển thị thông báo email không hợp lệ.</t>
  </si>
  <si>
    <t>TCRegister10</t>
  </si>
  <si>
    <t>Hệ thống không cho phép đăng ký khi email không đúng định dạng và hiển thị thông báo yêu cầu nhập địa chỉ email hợp lệ.</t>
  </si>
  <si>
    <t>TC-REGISTER-011</t>
  </si>
  <si>
    <t>Kiểm tra đăng ký với số điện thoại sai định dạng</t>
  </si>
  <si>
    <t>1: Mở trang đăng ký. 
2: Nhập số điện thoại 11 chữ số. 
3: Nhập hợp lệ các trường còn lại. 
4: Nhấn nút Đăng ký. 
5: Kiểm tra kết quả sau khi nhấn Đăng ký.</t>
  </si>
  <si>
    <t>Hệ thống không tạo tài khoản và hiển thị thông báo số điện thoại không hợp lệ.</t>
  </si>
  <si>
    <t>TCRegister11_1, TCRegister11_2</t>
  </si>
  <si>
    <t>Đăng nhập thành công, hệ thống chuyển trang hiện giao diện chưa đăng nhập</t>
  </si>
  <si>
    <t>Hệ thống vẫn cho phép đăng ký với số điện thoại 11 chữ số và chuyển đến trang đăng nhập, không hiển thị thông báo số điện thoại không hợp lệ.</t>
  </si>
  <si>
    <t>TCRegisterRetest11</t>
  </si>
  <si>
    <t>TC-LOGIN-009</t>
  </si>
  <si>
    <t>Kiểm tra không thể truy cập trang yêu cầu xác thực khi chưa đăng nhập</t>
  </si>
  <si>
    <t>1: Đảm bảo người dùng chưa đăng nhập 
2: Truy cập trực tiếp URL trang yêu cầu đăng nhập 
3: Kiểm tra hệ thống chặn truy cập và chuyển về trang đăng nhập hoặc yêu cầu đăng nhập</t>
  </si>
  <si>
    <t>Hệ thống không cho truy cập và và hiện thông báo vui lòng đăng nhập</t>
  </si>
  <si>
    <t>TC-REGISTER-012</t>
  </si>
  <si>
    <t>Kiểm tra đăng ký khi xác nhận mật khẩu không khớp</t>
  </si>
  <si>
    <t>1: Mở trang đăng ký. 
2: Nhập mật khẩu hợp lệ và xác nhận mật khẩu không khớp. 
3: Nhập hợp lệ các trường còn lại. 
4: Nhấn nút Đăng ký. 
5: Kiểm tra kết quả sau khi nhấn Đăng ký.</t>
  </si>
  <si>
    <t>Hệ thống không tạo tài khoản và hiển thị thông báo xác nhận mật khẩu không khớp.</t>
  </si>
  <si>
    <t>TCRegister12</t>
  </si>
  <si>
    <t>TCLog9</t>
  </si>
  <si>
    <t>Hệ thống không cho phép đăng ký khi xác nhận mật khẩu không khớp với mật khẩu và hiển thị thông báo.</t>
  </si>
  <si>
    <t>TC-REGISTER-013</t>
  </si>
  <si>
    <t>Kiểm tra đăng ký với mật khẩu ngắn hơn 7 ký tự</t>
  </si>
  <si>
    <t>1: Mở trang đăng ký.
2: Nhập mật khẩu ngắn hơn 7 ký tự 
3: Nhập xác nhận mật khẩu trùng khớp.
4: Nhập hợp lệ các trường còn lại.
5: Nhấn nút Đăng ký.
6: Kiểm tra kết quả sau khi nhấn Đăng ký.</t>
  </si>
  <si>
    <t>Hệ thống không tạo tài khoản và hiển thị thông báo mật khẩu không hợp lệ.</t>
  </si>
  <si>
    <t>TCRegister13_1, TCRegister13_2</t>
  </si>
  <si>
    <t>Hệ thống vẫn cho phép đăng ký với mật khẩu chỉ có 6 ký tự và chuyển đến trang đăng nhập, không hiển thị thông báo mật khẩu không hợp lệ.</t>
  </si>
  <si>
    <t>TCRegisterRetest13</t>
  </si>
  <si>
    <t>Hệ thống thực hiện đúng, không cho truy câp trang khi chưa đăng nhập</t>
  </si>
  <si>
    <t>TC-LOGIN-010</t>
  </si>
  <si>
    <t>Kiểm tra trạng thái đăng nhập sau khi đăng xuất và quay lại trang trước</t>
  </si>
  <si>
    <t>1: Đăng nhập thành công 
2: Nhấn Đăng xuất 
3: Nhấn nút Back của trình duyệt 
4: Kiểm tra người dùng không thể quay lại trạng thái đã đăng nhập</t>
  </si>
  <si>
    <t>Hệ thống hiện trang chủ khi chưa đăng nhập</t>
  </si>
  <si>
    <t>TC-REGISTER-014</t>
  </si>
  <si>
    <t>Kiểm tra đăng ký với mật khẩu không có chữ in hoa</t>
  </si>
  <si>
    <t>1: Mở trang đăng ký.
2: Nhập mật khẩu không có chữ in hoa, có số, có chữ thường và ký tự đặc biệt 
3: Nhập xác nhận mật khẩu trùng khớp.
4: Nhập hợp lệ các trường còn lại.
5: Nhấn nút Đăng ký.
6: Kiểm tra kết quả sau khi nhấn Đăng ký.</t>
  </si>
  <si>
    <t>Hệ thống không tạo tài khoản và hiển thị thông báo mật khẩu phải chứa ít nhất một chữ in hoa.</t>
  </si>
  <si>
    <t>TCLog10_1,TCLog10_2, TCLog10_3</t>
  </si>
  <si>
    <t xml:space="preserve">TCRegister14_1,TCRegister14_2 </t>
  </si>
  <si>
    <t>Hệ thống vẫn cho phép đăng ký với mật khẩu không có ký tự hoa và chuyển đến trang đăng nhập, không hiển thị thông báo mật khẩu không hợp lệ.</t>
  </si>
  <si>
    <t>TCRegisterRetest14</t>
  </si>
  <si>
    <t>Hệ thống thực hiện đúng</t>
  </si>
  <si>
    <t>TC-REGISTER-015</t>
  </si>
  <si>
    <t>Kiểm tra đăng ký với mật khẩu không có chữ thường</t>
  </si>
  <si>
    <t>1: Mở trang đăng ký.
2: Nhập mật khẩu không có chữ thường, có số, có chữ hoa và ký tự đặc biệt 
3: Nhập xác nhận mật khẩu trùng khớp.
4: Nhập hợp lệ các trường còn lại.
5: Nhấn nút Đăng ký.
6: Kiểm tra kết quả sau khi nhấn Đăng ký.</t>
  </si>
  <si>
    <t>Hệ thống không tạo tài khoản và hiển thị thông báo mật khẩu phải chứa ít nhất một chữ thường.</t>
  </si>
  <si>
    <t>TCRegister15_1, TCRegister15_2</t>
  </si>
  <si>
    <t>Hệ thống vẫn cho phép đăng ký với mật khẩu không có chữ thường và chuyển đến trang đăng nhập, không hiển thị thông báo mật khẩu không hợp lệ.</t>
  </si>
  <si>
    <t>TCRegisterRetest15</t>
  </si>
  <si>
    <t>TC-REGISTER-016</t>
  </si>
  <si>
    <t>Kiểm tra đăng ký với mật khẩu không có chữ số</t>
  </si>
  <si>
    <t>1: Mở trang đăng ký.
2: Nhập mật khẩu không có số, có chữ thường, có chữ hoa và ký tự đặc biệt 
3: Nhập xác nhận mật khẩu trùng khớp.
4: Nhập hợp lệ các trường còn lại.
5: Nhấn nút Đăng ký.
6: Kiểm tra kết quả sau khi nhấn Đăng ký.</t>
  </si>
  <si>
    <t>Hệ thống không tạo tài khoản và hiển thị thông báo mật khẩu phải chứa ít nhất một chữ số.</t>
  </si>
  <si>
    <t>TCRegister16_1, TCRegister16_2</t>
  </si>
  <si>
    <t>Hệ thống vẫn cho phép đăng ký với mật khẩu không có chữ số và chuyển đến trang đăng nhập, không hiển thị thông báo mật khẩu không hợp lệ.</t>
  </si>
  <si>
    <t>TCRegisterRetest16</t>
  </si>
  <si>
    <t>TC-REGISTER-017</t>
  </si>
  <si>
    <t>Kiểm tra đăng ký với mật khẩu không có ký tự đặc biệt</t>
  </si>
  <si>
    <t>1: Mở trang đăng ký.
2: Nhập mật khẩu không có ký tự đặc biệt, có số, có chữ thường, có chữ hoa  
3: Nhập xác nhận mật khẩu trùng khớp.
4: Nhập hợp lệ các trường còn lại.
5: Nhấn nút Đăng ký.
6: Kiểm tra kết quả sau khi nhấn Đăng ký.</t>
  </si>
  <si>
    <t>Hệ thống không tạo tài khoản và hiển thị thông báo mật khẩu phải chứa ít nhất một ký tự đặc biệt.</t>
  </si>
  <si>
    <t xml:space="preserve">TCRegister17_1,TCRegister17_2 </t>
  </si>
  <si>
    <t>Hệ thống vẫn cho phép đăng ký với mật khẩu không có ký tự đặc biệt và chuyển đến trang đăng nhập, không hiển thị thông báo mật khẩu không hợp lệ.</t>
  </si>
  <si>
    <t>TCRegisterRetest17</t>
  </si>
  <si>
    <t xml:space="preserve">4. Kiểm tra dữ liệu đã tồn tại     </t>
  </si>
  <si>
    <t>TC-REGISTER-018</t>
  </si>
  <si>
    <t>Kiểm tra đăng ký với tên đăng nhập đã tồn tại</t>
  </si>
  <si>
    <t>1: Mở trang đăng ký.
2: Nhập tên đăng nhập là patient_an đã có trong hệ thống.
3: Nhập hợp lệ các trường còn lại.
4: Nhấn nút Đăng ký.
5: Kiểm tra kết quả sau khi nhấn Đăng ký.</t>
  </si>
  <si>
    <t xml:space="preserve">Hệ thống không tạo tài khoản và hiển thị thông báo tên đăng nhập đã tồn tại.
</t>
  </si>
  <si>
    <t>TCRegister18_1, TCRegister18_2</t>
  </si>
  <si>
    <t>BOOKING - Appointment Booking</t>
  </si>
  <si>
    <t>Appointment Booking</t>
  </si>
  <si>
    <t>Hệ thống chưa hiển thị thông báo cụ thể khi người dùng đăng ký bằng tên đăng nhập đã tồn tại.</t>
  </si>
  <si>
    <t>TCRegisterRetest18</t>
  </si>
  <si>
    <t>TC-REGISTER-019</t>
  </si>
  <si>
    <t>Kiểm tra đăng ký với email đã tồn tại</t>
  </si>
  <si>
    <t>1: Mở trang đăng ký.
2: Nhập email là an@gmail.com đã có trong hệ thống.
3: Nhập hợp lệ các trường còn lại.
4: Nhấn nút Đăng ký.
5: Kiểm tra kết quả sau khi nhấn Đăng ký.</t>
  </si>
  <si>
    <t>Hệ thống không tạo tài khoản và hiển thị thông báo email đã tồn tại.</t>
  </si>
  <si>
    <t>TCRegister19_1, TCRegister19_2</t>
  </si>
  <si>
    <t>Hệ thống vẫn cho phép đăng ký tài khoản với email đã tồn tại</t>
  </si>
  <si>
    <t>TCRegisterRetest19</t>
  </si>
  <si>
    <t>1. Kiểm tra hiển thị thông tin đặt lịch</t>
  </si>
  <si>
    <t>TC-BOOKING-001</t>
  </si>
  <si>
    <t>Đặt lịch thành công với ngày và giờ hợp lệ</t>
  </si>
  <si>
    <t>1: Đăng nhập bằng tài khoản Patient hợp lệ.
2: Mở trang Bác sĩ và chọn bác sĩ cần đặt lịch.
3: Mở trang Đặt lịch và kiểm tra đúng thông tin bác sĩ đã chọn.
4: Chọn ngày và giờ hợp lệ, còn trống trong lịch làm việc của bác sĩ.
5: Nhập ghi chú hợp lệ và nhấn Đặt lịch.
6: Kiểm tra thông báo thành công và lịch hẹn vừa được tạo.</t>
  </si>
  <si>
    <t>Hệ thống tạo lịch hẹn thành công, hiển thị thông báo đặt lịch thành công và giờ vừa đặt xuất hiện trong danh sách giờ đã được đặt</t>
  </si>
  <si>
    <t>TCBooking1_1, TCBooking1_2</t>
  </si>
  <si>
    <t>Chức năng hoạt động đúng, có thông báo đặt lịch thành công</t>
  </si>
  <si>
    <t>2. Kiểm tra dữ liệu để trống</t>
  </si>
  <si>
    <t>TC-BOOKING-002</t>
  </si>
  <si>
    <t>Kiểm tra không thể đặt lịch khi chưa chọn ngày khám.</t>
  </si>
  <si>
    <t>1: Đăng nhập bằng tài khoản Patient hợp lệ.
2: Mở trang Đặt lịch của bác sĩ cần đặt.
3: Để trống ngày khám.
4: Chọn giờ khám và nhập ghi chú hợp lệ.
5: Nhấn Đặt lịch.
6: Kiểm tra thông báo validation và xác nhận lịch hẹn không được tạo.</t>
  </si>
  <si>
    <t>Hệ thống yêu cầu người dùng chọn ngày khám và không tạo lịch hẹn</t>
  </si>
  <si>
    <t>TCBooking2</t>
  </si>
  <si>
    <t>Hệ thống hoạt động đúng, có thông báo yêu cầu nhập ngày khám</t>
  </si>
  <si>
    <t>TC-BOOKING-003</t>
  </si>
  <si>
    <t>Kiểm tra không thể đặt lịch khi chưa chọn giờ khám.</t>
  </si>
  <si>
    <t>1: Đăng nhập bằng tài khoản Patient hợp lệ.
2: Mở trang Đặt lịch của bác sĩ cần đặt.
3: Chọn một ngày bác sĩ có lịch làm việc.
4: Để trống giờ khám và nhập ghi chú hợp lệ.
5: Nhấn Đặt lịch.
6: Kiểm tra thông báo validation và xác nhận lịch hẹn không được tạo.</t>
  </si>
  <si>
    <t>Hệ thống yêu cầu người dùng nhập giờ khám và không tạo lịch hẹn</t>
  </si>
  <si>
    <t>TCBooking3</t>
  </si>
  <si>
    <t>Hệ thống hoạt động đúng, có thông báo yêu cầu nhập giờ khám</t>
  </si>
  <si>
    <t>TC-BOOKING-004</t>
  </si>
  <si>
    <t>Kiểm tra đặt lịch khi không nhập ghi chú.</t>
  </si>
  <si>
    <t>1: Đăng nhập bằng tài khoản Patient hợp lệ.
2: Mở trang Đặt lịch của bác sĩ cần đặt.
3: Chọn ngày và giờ hợp lệ, còn trống trong lịch làm việc của bác sĩ.
4: Để trống trường ghi chú.
5: Nhấn Đặt lịch.
6: Kiểm tra kết quả đặt lịch.</t>
  </si>
  <si>
    <t>Hệ thống vẫn tạo lịch hẹn thành công vì ghi chú là thông tin không bắt buộc</t>
  </si>
  <si>
    <t>TCBooking4_1, TCBooking4_2</t>
  </si>
  <si>
    <t xml:space="preserve">Hệ thống hoạt động đúng, vì ghi chú không phải trường bắt buộc </t>
  </si>
  <si>
    <t>3. Kiểm tra ngày và giờ không hợp lệ</t>
  </si>
  <si>
    <t>TC-BOOKING-005</t>
  </si>
  <si>
    <t>Kiểm tra không thể đặt lịch vào ngày bác sĩ không có lịch làm việc.</t>
  </si>
  <si>
    <t>1: Đăng nhập bằng tài khoản Patient hợp lệ.
2: Mở trang Đặt lịch của bác sĩ cần đặt.
3: Chọn một ngày bác sĩ không có lịch làm việc.
4: Kiểm tra trạng thái thời gian đặt lịch của ngày đã chọn.
5: Thực hiện đặt lịch nếu hệ thống cho phép thao tác.
6: Kiểm tra lịch hẹn không được tạo.</t>
  </si>
  <si>
    <t>Hệ thống không cho phép Patient đặt lịch vào ngày bác sĩ không làm việc và không tạo lịch hẹn mới.</t>
  </si>
  <si>
    <t>TCBooking5</t>
  </si>
  <si>
    <t>Hệ thống hoạt động đúng, có hiện thông báo đặt lịch thất bại.</t>
  </si>
  <si>
    <t>TC-BOOKING-006</t>
  </si>
  <si>
    <t>Kiểm tra không thể đặt lịch vào giờ nằm ngoài ca làm việc của bác sĩ.</t>
  </si>
  <si>
    <t>1: Đăng nhập bằng tài khoản Patient hợp lệ.
2: Mở trang Đặt lịch của bác sĩ cần đặt.
3: Chọn một ngày bác sĩ có lịch làm việc.
4: Chọn hoặc nhập giờ nằm ngoài ca làm việc của bác sĩ.
5: Thực hiện đặt lịch.
6: Kiểm tra thông báo và xác nhận lịch hẹn không được tạo.</t>
  </si>
  <si>
    <t>Hệ thống không tạo lịch hẹn và hiển thị thông báo bác sĩ không làm việc vào thời gian đã chọn</t>
  </si>
  <si>
    <t>TCBooking6</t>
  </si>
  <si>
    <t>TC-BOOKING-007</t>
  </si>
  <si>
    <t>Kiểm tra không thể đặt lịch trùng với giờ đã có lịch hẹn.</t>
  </si>
  <si>
    <t>1: Đăng nhập bằng tài khoản Patient hợp lệ.
2: Mở trang Đặt lịch của bác sĩ cần đặt.
3: Xác định ngày và giờ đã có lịch hẹn của bác sĩ.
4: Chọn lại đúng ngày và giờ đã có lịch hẹn.
5: Nhấn Đặt lịch.
6: Kiểm tra thông báo và xác nhận không phát sinh lịch hẹn trùng.</t>
  </si>
  <si>
    <t>Hệ thống không tạo lịch hẹn mới và hiển thị thông báo giờ đã có người đặt</t>
  </si>
  <si>
    <t>TCBooking7</t>
  </si>
  <si>
    <t>TC-BOOKING-008</t>
  </si>
  <si>
    <t>Kiểm tra không thể đặt lịch cách một lịch hẹn hiện có dưới 30 phút.</t>
  </si>
  <si>
    <t>1: Đăng nhập bằng tài khoản Patient hợp lệ.
2: Xác định một lịch hẹn đã tồn tại của bác sĩ.
3: Mở trang Đặt lịch của cùng bác sĩ.
4: Chọn cùng ngày và một giờ cách lịch hẹn hiện có dưới 30 phút.
5: Nhấn Đặt lịch.
6: Kiểm tra thông báo và xác nhận lịch hẹn mới không được tạo.</t>
  </si>
  <si>
    <t>Hệ thống từ chối thời gian cách lịch hẹn hiện có dưới 30 phút và không tạo lịch hẹn mới.</t>
  </si>
  <si>
    <t>TCBooking8</t>
  </si>
  <si>
    <t>Phát hiện lỗi, cần giới hạn khoảng cách tối thiểu 30 phút giữa các lịch hẹn.</t>
  </si>
  <si>
    <t>TCBookingRetest8</t>
  </si>
  <si>
    <t xml:space="preserve">5. Kiểm tra quyền truy cập chức năng đặt lịch        </t>
  </si>
  <si>
    <t>TC-BOOKING-009</t>
  </si>
  <si>
    <t>Kiểm tra người dùng chưa đăng nhập không được truy cập chức năng Đặt lịch hẹn.</t>
  </si>
  <si>
    <t>1: Đảm bảo người dùng đang ở trạng thái chưa đăng nhập.
2: Mở trang Bác sĩ.
3: Chọn bác sĩ cần đặt lịch.
4: Nhấn nút Đặt lịch hẹn.
5: Kiểm tra trang được điều hướng đến.
6: Xác nhận Guest không thể truy cập form Đặt lịch.</t>
  </si>
  <si>
    <t>Hệ thống không cho phép người dùng chưa đăng nhập truy cập form Đặt lịch và yêu cầu đăng nhập trước khi tiếp tục. Không có lịch hẹn nào được tạo.</t>
  </si>
  <si>
    <t>TCBooking9_1, TCBooking9_2</t>
  </si>
  <si>
    <t>Guest chưa đăng nhập vẫn truy cập được trang đặt lịch. Cần bổ sung kiểm tra xác thực trước khi cho phép truy cập chức năng đặt lịch.</t>
  </si>
  <si>
    <t>TC-BOOKING-010</t>
  </si>
  <si>
    <t>Kiểm tra test case mới của chức năng Đặt lịch được thực thi thành công trên Local và GitHub Actions.</t>
  </si>
  <si>
    <t>1: Đăng nhập bằng tài khoản Patient hợp lệ.
2: Mở trang Bác sĩ và chọn bác sĩ cần đặt lịch.
3: Mở trang Đặt lịch và kiểm tra các trường cần thiết.
4: Chọn ngày và giờ hợp lệ, còn trống trong lịch làm việc của bác sĩ.
5: Nhập ghi chú hợp lệ và nhấn Đặt lịch.
6: Kiểm tra thông báo thành công và lịch hẹn vừa được tạo với trạng thái pending.
7: Chạy TC-BOOKING-010 trên môi trường Local và ghi nhận kết quả.
8: Push source code lên branch CI và kiểm tra GitHub Actions tự động thực thi lại bộ test.
9: Đối chiếu số lượng test case trước và sau khi bổ sung TC-BOOKING-010.</t>
  </si>
  <si>
    <t>TC-BOOKING-010 thực thi PASS trên Local. Sau khi source code được push lên branch CI, GitHub Actions tự động chạy lại bộ kiểm thử, nhận diện TC-BOOKING-010 và tổng số test case tăng từ 125 lên 126. TC-BOOKING-010 tiếp tục PASS trên môi trường CI.</t>
  </si>
  <si>
    <t>TCBooking10_1, TCBooking10_2</t>
  </si>
  <si>
    <t>TC-BOOKING-010 PASS trên Local. Full suite tăng từ 125 lên 126 test case và đạt 121 PASS, 5 XFAIL. Sau khi push lên branch CI, GitHub Actions tự động chạy lại và thu thập 126 test case.</t>
  </si>
  <si>
    <t>APPOINTMENT - Appointment Management</t>
  </si>
  <si>
    <t>Appointment Management and Examination</t>
  </si>
  <si>
    <t>1. Kiểm tra lịch được chuyển đến Admin</t>
  </si>
  <si>
    <t>TC-APPOINTMENT-001</t>
  </si>
  <si>
    <t>Kiểm tra lịch hẹn bệnh nhân vừa đặt được hiển thị đúng trên trang Quản lý lịch hẹn của Admin.</t>
  </si>
  <si>
    <t>1: Đăng nhập bằng tài khoản bệnh nhân và mở trang đặt lịch của bác sĩ có lịch làm việc.
2: Chọn ngày, giờ hợp lệ và nhập ghi chú TC-APPOINTMENT-001.
3: Nhấn Đặt lịch và kiểm tra đặt lịch thành công.
4: Đăng xuất và đăng nhập bằng tài khoản Admin.
5: Mở trang Quản lý lịch hẹn và tìm lịch vừa tạo.
6: Kiểm tra thông tin và trạng thái của lịch.</t>
  </si>
  <si>
    <t>Lịch được tạo thành công và hiển thị cho Admin với đúng bệnh nhân, bác sĩ, ngày giờ, ghi chú; trạng thái Chờ xác nhận và có nút Xác nhận, Hủy.</t>
  </si>
  <si>
    <t xml:space="preserve">TCAppointment1_1, TCAppointment1_2, TCAppointment1_3 </t>
  </si>
  <si>
    <t>Lịch hẹn sau khi bệnh nhân đặt được gửi đến Admin đầy đủ và đúng trạng thái Chờ xác nhận.</t>
  </si>
  <si>
    <t>2. Kiểm tra Admin quản lý lịch</t>
  </si>
  <si>
    <t>TC-APPOINTMENT-002</t>
  </si>
  <si>
    <t>Kiểm tra Admin xác nhận thành công lịch hẹn đang ở trạng thái Chờ xác nhận.</t>
  </si>
  <si>
    <t>1: Đăng nhập Admin và mở trang Quản lý lịch hẹn.
2: Tìm lịch TC-APPOINTMENT-002 đang ở trạng thái Chờ xác nhận.
3: Nhấn Xác nhận và đồng ý trên hộp thoại xác nhận.
4: Kiểm tra thông báo xác nhận thành công.
5: Kiểm tra trạng thái và thông tin lịch sau khi xác nhận.</t>
  </si>
  <si>
    <t>Trạng thái chuyển sang Đã xác nhận; nút Xác nhận, Hủy không còn hiển thị; thông tin lịch không thay đổi.</t>
  </si>
  <si>
    <t>TCAppointment2_1, TCAppointment2_2</t>
  </si>
  <si>
    <t>Admin xác nhận lịch thành công, trạng thái chuyển sang Đã xác nhận và thông tin lịch không thay đổi.</t>
  </si>
  <si>
    <t>TC-APPOINTMENT-003</t>
  </si>
  <si>
    <t>Kiểm tra Admin hủy thành công lịch hẹn đang chờ xác nhận.</t>
  </si>
  <si>
    <t>1: Đăng nhập Admin và mở trang Quản lý lịch hẹn.
2: Tìm lịch TC-APPOINTMENT-003 đang ở trạng thái Chờ xác nhận.
3: Nhấn Hủy và đồng ý trên hộp thoại xác nhận.
4: Kiểm tra thông báo hủy lịch thành công.
5: Kiểm tra trạng thái và thông tin lịch sau khi hủy.</t>
  </si>
  <si>
    <t>Trạng thái chuyển sang Đã hủy; nút Xác nhận, Hủy không còn hiển thị; thông tin lịch không thay đổi.</t>
  </si>
  <si>
    <t>TCAppointment3_1, TCAppointment3_2, TCAppointment3_3</t>
  </si>
  <si>
    <t>Admin hủy lịch thành công, trạng thái chuyển sang Đã hủy và các nút thao tác không còn hiển thị.</t>
  </si>
  <si>
    <t>3. Kiểm tra quyền bác sĩ theo trạng thái lịch</t>
  </si>
  <si>
    <t>TC-APPOINTMENT-004</t>
  </si>
  <si>
    <t>Kiểm tra quyền xem hồ sơ bệnh nhân của bác sĩ khi lịch đang chờ xác nhận.</t>
  </si>
  <si>
    <t>1: Đăng nhập bằng đúng tài khoản bác sĩ của lịch.
2: Mở trang Lịch hẹn bệnh nhân và tìm lịch TC-APPOINTMENT-004.
3: Kiểm tra trạng thái và các nút thao tác của lịch.
4: Nhấn Xem hồ sơ.
5: Kiểm tra hồ sơ/lịch sử khám của bệnh nhân.</t>
  </si>
  <si>
    <t>Lịch ở trạng thái Chờ xác nhận; bác sĩ được xem hồ sơ/lịch sử khám nhưng không có nút Khám bệnh và không thể tạo hồ sơ bệnh án mới.</t>
  </si>
  <si>
    <t>TCAppointment4</t>
  </si>
  <si>
    <t>Bác sĩ không thể xem hồ sơ bệnh nhân khi lịch đang chờ xác nhận, không đúng với yêu cầu nghiệp vụ.</t>
  </si>
  <si>
    <t>TC-APPOINTMENT-005</t>
  </si>
  <si>
    <t>Kiểm tra bác sĩ không thể truy cập trực tiếp trang khám của lịch chưa được Admin xác nhận.</t>
  </si>
  <si>
    <t>1: Đăng nhập bằng đúng tài khoản bác sĩ của lịch TC-APPOINTMENT-005.
2: Truy cập trực tiếp URL trang khám bằng appointmentId của lịch.
3: Kiểm tra phản hồi của hệ thống.
4: Kiểm tra không thể thực hiện và lưu thông tin khám.
5: Kiểm tra trạng thái lịch và dữ liệu hồ sơ.</t>
  </si>
  <si>
    <t>Trang khám bị chặn, chuyển hướng hoặc thông báo lịch chưa được xác nhận; không tạo hồ sơ bệnh án; lịch vẫn ở trạng thái Chờ xác nhận.</t>
  </si>
  <si>
    <t>TCAppointment5_1, TCAppointment5_2</t>
  </si>
  <si>
    <t>Hệ thống chỉ ẩn nút Khám bệnh trên giao diện nhưng chưa chặn truy cập trực tiếp đối với lịch chưa được Admin xác nhận.</t>
  </si>
  <si>
    <t>TCAppointmentRetest5</t>
  </si>
  <si>
    <t>TC-APPOINTMENT-006</t>
  </si>
  <si>
    <t>Kiểm tra đúng bác sĩ được phép khám bệnh khi lịch đã được xác nhận.</t>
  </si>
  <si>
    <t>1: Đăng nhập bằng đúng tài khoản bác sĩ của lịch.
2: Mở trang Lịch hẹn bệnh nhân và tìm lịch TC-APPOINTMENT-006.
3: Kiểm tra lịch ở trạng thái Đã xác nhận và có nút Khám bệnh.
4: Nhấn Khám bệnh.
5: Kiểm tra thông tin bệnh nhân và form khám được hiển thị.</t>
  </si>
  <si>
    <t>Trang khám mở đúng lịch và bệnh nhân; hiển thị form nhập chẩn đoán, hướng điều trị; lịch vẫn Đã xác nhận khi chưa lưu hồ sơ.</t>
  </si>
  <si>
    <t>TCAppointment6_1, TCAppointment6_2</t>
  </si>
  <si>
    <t>Lịch đã xác nhận hiển thị nút Khám bệnh và mở đúng thông tin bệnh nhân cùng form khám.</t>
  </si>
  <si>
    <t>TC-APPOINTMENT-007</t>
  </si>
  <si>
    <t>Kiểm tra bác sĩ khác không thể khám lịch hẹn không thuộc mình.</t>
  </si>
  <si>
    <t>1: Đăng nhập bằng tài khoản bác sĩ khác với bác sĩ của lịch TC-APPOINTMENT-007.
2: Mở trang Lịch hẹn bệnh nhân và kiểm tra lịch không xuất hiện.
3: Truy cập trực tiếp URL trang khám bằng appointmentId của lịch.
4: Kiểm tra phản hồi của hệ thống.
5: Kiểm tra trạng thái lịch và dữ liệu hồ sơ.</t>
  </si>
  <si>
    <t>Lịch không xuất hiện trong danh sách; truy cập trực tiếp bị chặn/chuyển hướng hoặc báo không có quyền; không tạo hồ sơ bệnh án và trạng thái lịch không thay đổi.</t>
  </si>
  <si>
    <t>TCAppointment7_1, TCAppointment7_2</t>
  </si>
  <si>
    <t>Hệ thống chưa kiểm tra lịch hẹn có thuộc bác sĩ đang đăng nhập hay không.</t>
  </si>
  <si>
    <t>TCAppointmentRetest7</t>
  </si>
  <si>
    <t>TC-APPOINTMENT-008</t>
  </si>
  <si>
    <t>Kiểm tra bác sĩ không thể khám bệnh đối với lịch đã bị hủy.</t>
  </si>
  <si>
    <t>1: Đăng nhập bằng đúng tài khoản bác sĩ của lịch.
2: Mở trang Lịch hẹn bệnh nhân và tìm lịch TC-APPOINTMENT-008.
3: Kiểm tra lịch ở trạng thái Đã hủy và không có nút Khám bệnh.
4: Truy cập trực tiếp URL trang khám bằng appointmentId của lịch.
5: Kiểm tra phản hồi và dữ liệu của lịch.</t>
  </si>
  <si>
    <t>Không có nút Khám bệnh; truy cập trực tiếp trang khám bị chặn/chuyển hướng; không tạo hồ sơ bệnh án; trạng thái vẫn Đã hủy.</t>
  </si>
  <si>
    <t>TCAppointment8_1, TCAppointment8_2</t>
  </si>
  <si>
    <t>Hệ thống chưa chặn truy cập trực tiếp trang khám đối với lịch đã bị hủy</t>
  </si>
  <si>
    <t>TCAppointmentRetest8</t>
  </si>
  <si>
    <t xml:space="preserve">4. Kiểm tra bác sĩ hoàn thành khám        </t>
  </si>
  <si>
    <t>TC-APPOINTMENT-009</t>
  </si>
  <si>
    <t>Kiểm tra bác sĩ lưu hồ sơ bệnh án và hoàn thành lịch hẹn đã xác nhận.</t>
  </si>
  <si>
    <t>1: Đăng nhập bằng đúng tài khoản bác sĩ và mở lịch TC-APPOINTMENT-009 đã được xác nhận.
2: Nhấn Khám bệnh.
3: Nhập chẩn đoán và hướng điều trị hợp lệ.
4: Nhấn Lưu hồ sơ và kiểm tra lưu thành công.
5: Quay lại danh sách lịch hẹn và kiểm tra trạng thái.
6: Mở lại hồ sơ và kiểm tra thông tin vừa lưu.</t>
  </si>
  <si>
    <t>Hồ sơ bệnh án được lưu đúng bệnh nhân, bác sĩ và lịch hẹn; trạng thái chuyển sang Đã hoàn thành; không còn nút Khám bệnh và có thể xem lại hồ sơ.</t>
  </si>
  <si>
    <t>TCAppointment9_1, TCAppointment9_2, TCAppointment9_3</t>
  </si>
  <si>
    <t>Hồ sơ bệnh án được lưu thành công, lịch chuyển sang Đã hoàn thành và hiển thị nút Xem hồ sơ.</t>
  </si>
  <si>
    <t>MEDICAL - Medical Record Management</t>
  </si>
  <si>
    <t>Medical Record Management</t>
  </si>
  <si>
    <t>1. Kiểm tra tạo hồ sơ bệnh án</t>
  </si>
  <si>
    <t>TC-MEDICAL-001</t>
  </si>
  <si>
    <t>Kiểm tra bác sĩ có thể tạo hồ sơ bệnh án thành công cho lịch hẹn đã được xác nhận.</t>
  </si>
  <si>
    <t>1: Chuẩn bị một lịch hẹn Đã xác nhận và chưa có hồ sơ bệnh án. 
2: Đăng nhập bằng bác sĩ phụ trách lịch hẹn. 
3: Mở trang Lịch hẹn bệnh nhân và tìm đúng lịch đã chuẩn bị. 
4: Kiểm tra lịch ở trạng thái Đã xác nhận và có nút Khám bệnh. 
5: Nhấn Khám bệnh. 
6: Kiểm tra trang Khám bệnh được mở đúng cho lịch hẹn. 
7: Nhập Chẩn đoán và Hướng điều trị hợp lệ. 
8: Nhấn Lưu hồ sơ bệnh án. 
9: Kiểm tra hồ sơ được tạo đúng và lịch chuyển sang Đã hoàn thành.</t>
  </si>
  <si>
    <t>Hệ thống tạo hồ sơ bệnh án thành công.
Hồ sơ được gắn đúng với lịch hẹn, bệnh nhân và bác sĩ.
Chẩn đoán và hướng điều trị được lưu chính xác.
Trạng thái lịch chuyển từ Đã xác nhận sang Đã hoàn thành.
Nút Khám bệnh được thay bằng nút Xem hồ sơ.</t>
  </si>
  <si>
    <t>TCMedical1_1, TCMedical1_2, TCMedical1_3</t>
  </si>
  <si>
    <t>Bác sĩ tạo hồ sơ bệnh án thành công, dữ liệu được lưu đúng và lịch hẹn chuyển sang trạng thái Đã hoàn thành.</t>
  </si>
  <si>
    <t>TC-MEDICAL-002</t>
  </si>
  <si>
    <t>Kiểm tra hệ thống không cho phép bác sĩ tạo hồ sơ bệnh án khi bỏ trống Chẩn đoán.</t>
  </si>
  <si>
    <t>1: Chuẩn bị lịch hẹn Đã xác nhận và chưa có hồ sơ bệnh án. 
2: Đăng nhập bằng bác sĩ phụ trách. 
3: Mở trang Khám bệnh của lịch đã chuẩn bị. 
4: Để trống Chẩn đoán và nhập Hướng điều trị hợp lệ. 
5: Nhấn Lưu hồ sơ bệnh án. 
6: Kiểm tra thông báo validation. 
7: Kiểm tra hồ sơ không được tạo và lịch vẫn Đã xác nhận.</t>
  </si>
  <si>
    <t>Hệ thống hiển thị thông báo yêu cầu nhập đầy đủ chẩn đoán.
Không tạo hồ sơ bệnh án mới.
Trạng thái lịch vẫn là Đã xác nhận.
Dữ liệu hướng điều trị chưa được lưu.</t>
  </si>
  <si>
    <t>TCMedical2_1, TCMedical2_2, TCMedical2_3</t>
  </si>
  <si>
    <t>Hệ thống hiển thị cảnh báo khi bỏ trống chẩn đoán, không tạo hồ sơ bệnh án và giữ nguyên trạng thái</t>
  </si>
  <si>
    <t>TC-MEDICAL-003</t>
  </si>
  <si>
    <t>Kiểm tra hệ thống không cho phép bác sĩ tạo hồ sơ bệnh án khi bỏ trống Hướng điều trị.</t>
  </si>
  <si>
    <t>1: Chuẩn bị lịch hẹn Đã xác nhận và chưa có hồ sơ bệnh án. 
2: Đăng nhập bằng bác sĩ phụ trách. 
3: Mở trang Khám bệnh của lịch đã chuẩn bị. 
4: Nhập Chẩn đoán hợp lệ và để trống Hướng điều trị. 
5: Nhấn Lưu hồ sơ bệnh án. 
6: Kiểm tra thông báo validation. 
7: Kiểm tra hồ sơ không được tạo và lịch vẫn Đã xác nhận.</t>
  </si>
  <si>
    <t>Hệ thống hiển thị thông báo yêu cầu nhập đầy đủ hướng điều trị.
Không tạo hồ sơ bệnh án mới.
Trạng thái lịch vẫn là Đã xác nhận.
Dữ liệu chẩn đoán chưa được lưu.</t>
  </si>
  <si>
    <t>TCMedical3_1, TCMedical3_2, TCMedical3_3</t>
  </si>
  <si>
    <t>Hệ thống hiển thị cảnh báo khi bỏ trống hướng điều trị, không tạo hồ sơ bệnh án và giữ nguyên trạng thái Đã xác nhận.</t>
  </si>
  <si>
    <t>TC-MEDICAL-004</t>
  </si>
  <si>
    <t>Kiểm tra hệ thống không cho phép bác sĩ tạo thêm hồ sơ bệnh án cho lịch hẹn đã hoàn thành và đã có hồ sơ bệnh án.</t>
  </si>
  <si>
    <t>1: Chuẩn bị lịch hẹn Đã hoàn thành và đã có hồ sơ bệnh án. 
2: Đăng nhập bằng bác sĩ phụ trách. 
3: Mở trang Lịch hẹn bệnh nhân và tìm đúng lịch đã chuẩn bị. 
4: Kiểm tra lịch ở trạng thái Đã hoàn thành, có nút Xem hồ sơ và không còn nút Khám bệnh. 
5: Nhấn Xem hồ sơ và kiểm tra hồ sơ hiện có được hiển thị đúng. 
6: Truy cập trực tiếp trang Khám bệnh bằng appointmentId của lịch đã hoàn thành. 
7: Kiểm tra hệ thống chặn thao tác khám bệnh và không hiển thị form tạo hồ sơ mới. 
8: Mở lại hồ sơ và kiểm tra dữ liệu cũ không thay đổi.</t>
  </si>
  <si>
    <t>Bác sĩ xem được hồ sơ bệnh án hiện có. Khi truy cập trực tiếp trang Khám bệnh của lịch đã hoàn thành, hệ thống chặn truy cập và không hiển thị form tạo hồ sơ mới. Hồ sơ cũ không bị thay đổi và lịch vẫn ở trạng thái Đã hoàn thành.</t>
  </si>
  <si>
    <t>TCMedical4_1, TCMedical4_2</t>
  </si>
  <si>
    <t>Hệ thống cho phép xem hồ sơ hiện có nhưng chặn mở lại trang Khám bệnh để tạo hồ sơ bệnh án thứ hai.</t>
  </si>
  <si>
    <t>2. Kiểm tra xem hồ sơ bệnh án</t>
  </si>
  <si>
    <t>TC-MEDICAL-005</t>
  </si>
  <si>
    <t>Kiểm tra bác sĩ có thể xem đúng hồ sơ bệnh án của lịch hẹn đã hoàn thành.</t>
  </si>
  <si>
    <t>1: Chuẩn bị lịch Đã hoàn thành và đã có hồ sơ bệnh án. 
2: Đăng nhập bằng bác sĩ phụ trách. 
3: Mở trang Lịch hẹn bệnh nhân và tìm đúng lịch. 
4: Kiểm tra lịch có nút Xem hồ sơ. 
5: Nhấn Xem hồ sơ. 
6: Kiểm tra appointmentId, bệnh nhân và bác sĩ phụ trách. 
7: Kiểm tra Chẩn đoán và Hướng điều trị khớp dữ liệu đã lưu. 
8: Kiểm tra thao tác xem hồ sơ không làm thay đổi dữ liệu hoặc trạng thái lịch.</t>
  </si>
  <si>
    <t>Hệ thống mở đúng hồ sơ bệnh án của lịch hẹn.
Hiển thị đúng bệnh nhân và bác sĩ phụ trách.
Hiển thị đúng chẩn đoán và hướng điều trị đã lưu.
Hồ sơ được gắn đúng với appointmentId.
Không làm thay đổi trạng thái hoặc dữ liệu hồ sơ.</t>
  </si>
  <si>
    <t>TCMedical5_1, TCMedical5_2</t>
  </si>
  <si>
    <t>Hệ thống mở đúng hồ sơ bệnh án của lịch đã hoàn thành và hiển thị đầy đủ, chính xác thông tin đã lưu.</t>
  </si>
  <si>
    <t>3. Kiểm tra cập nhật hồ sơ bệnh án</t>
  </si>
  <si>
    <t>TC-MEDICAL-006</t>
  </si>
  <si>
    <t>Kiểm tra bác sĩ có thể cập nhật thành công hồ sơ bệnh án thuộc lịch hẹn của mình.</t>
  </si>
  <si>
    <t>1: Chuẩn bị lịch Đã hoàn thành, đã có hồ sơ và ghi nhận dữ liệu hiện tại. 
2: Đăng nhập bằng bác sĩ phụ trách và mở hồ sơ. 
3: Nhấn Cập nhật hồ sơ. 
4: Kiểm tra form cập nhật hiển thị đúng dữ liệu hiện tại. 
5: Thay đổi Chẩn đoán và Hướng điều trị. 
6: Nhấn Lưu cập nhật. 
7: Kiểm tra thông báo cập nhật thành công. 
8: Mở lại hồ sơ và kiểm tra dữ liệu mới. 
9: Kiểm tra hồ sơ vẫn thuộc cùng lịch hẹn, bệnh nhân và bác sĩ. 
10: Kiểm tra hệ thống cập nhật hồ sơ hiện tại, không tạo thêm hồ sơ mới và lịch vẫn Đã hoàn thành.</t>
  </si>
  <si>
    <t>Hệ thống cập nhật hồ sơ bệnh án thành công.
Nội dung mới được hiển thị chính xác.
Hệ thống cập nhật hồ sơ hiện tại, không tạo thêm hồ sơ mới.
Hồ sơ vẫn gắn đúng với bệnh nhân, bác sĩ và lịch hẹn.
Trạng thái lịch vẫn là Đã hoàn thành.</t>
  </si>
  <si>
    <t>TCMedical6_1, TCMedical6_2, TCMedical6_3</t>
  </si>
  <si>
    <t>Hệ thống cho phép bác sĩ cập nhật hồ sơ bệnh án thành công. Sau khi lưu, thông báo thành công hiển thị và nội dung hồ sơ được cập nhật đúng theo dữ liệu mới.</t>
  </si>
  <si>
    <t>TC-MEDICAL-007</t>
  </si>
  <si>
    <t>Kiểm tra bác sĩ khác không thể xem hồ sơ bệnh án không thuộc lịch hẹn của mình.</t>
  </si>
  <si>
    <t>1: Chuẩn bị hồ sơ bệnh án thuộc Doctor A và ghi nhận dữ liệu hiện tại. 
2: Đăng nhập bằng Doctor B. 
3: Mở trang Lịch hẹn bệnh nhân. 
4: Kiểm tra lịch của Doctor A không xuất hiện trong danh sách của Doctor B. 
5: Truy cập trực tiếp URL xem hồ sơ của Doctor A. 
6: Kiểm tra hệ thống chặn truy cập và không hiển thị dữ liệu hồ sơ. 
7: Đăng xuất Doctor B và đăng nhập lại Doctor A. 
8: Mở lại hồ sơ và kiểm tra dữ liệu không thay đổi.</t>
  </si>
  <si>
    <t>Hồ sơ của Doctor A không xuất hiện trong danh sách của Doctor B.
Khi Doctor B truy cập trực tiếp URL, hệ thống chặn truy cập hoặc hiển thị thông báo không có quyền.
Thông tin bệnh nhân và nội dung hồ sơ không được hiển thị.
Dữ liệu hồ sơ không thay đổi.</t>
  </si>
  <si>
    <t>TCMedical7</t>
  </si>
  <si>
    <t>Hệ thống chưa kiểm tra quyền xem hồ sơ, nên bác sĩ Tran Binh vẫn xem được chi tiết hồ sơ thuộc bác sĩ Ly Minh.</t>
  </si>
  <si>
    <t>TCMedicalRetest7</t>
  </si>
  <si>
    <t>TC-MEDICAL-008</t>
  </si>
  <si>
    <t>Kiểm tra bác sĩ khác không thể cập nhật hồ sơ bệnh án không thuộc lịch hẹn của mình.</t>
  </si>
  <si>
    <t>1: Chuẩn bị hồ sơ bệnh án thuộc Doctor A và ghi nhận dữ liệu hiện tại. 
2: Đăng nhập bằng Doctor B. 
3: Truy cập trực tiếp URL hồ sơ của Doctor A. 
4: Kiểm tra hệ thống chặn truy cập và Doctor B không thể sử dụng chức năng Cập nhật hồ sơ. 
5: Đăng xuất Doctor B và đăng nhập lại Doctor A. 
6: Mở lại hồ sơ đã chuẩn bị. 
7: Kiểm tra Chẩn đoán và Hướng điều trị không thay đổi. 
8: Kiểm tra hồ sơ vẫn thuộc Doctor A và lịch vẫn Đã hoàn thành.</t>
  </si>
  <si>
    <t>Hệ thống không cho phép Doctor B cập nhật hồ sơ thuộc Doctor A.
Doctor B bị chặn truy cập hoặc không có quyền sử dụng chức năng Cập nhật hồ sơ.
Chẩn đoán và hướng điều trị cũ không bị thay đổi.
Hồ sơ vẫn thuộc đúng Doctor A.</t>
  </si>
  <si>
    <t>TCMedical8_1, TCMedical8_2, TCMedical8_3</t>
  </si>
  <si>
    <t>Hệ thống chưa kiểm tra quyền sở hữu hồ sơ khi cập nhật. Bác sĩ Tran Binh vẫn mở được chức năng Cập nhật hồ sơ thuộc bác sĩ Ly Minh, thay đổi dữ liệu và lưu thành công.</t>
  </si>
  <si>
    <t>TCMedicalRetest8</t>
  </si>
  <si>
    <t>TC-MEDICAL-009</t>
  </si>
  <si>
    <t>Kiểm tra thao tác Hủy cập nhật không làm thay đổi dữ liệu hồ sơ bệnh án đã lưu.</t>
  </si>
  <si>
    <t>1: Chuẩn bị hồ sơ bệnh án và ghi nhận dữ liệu hiện tại. 
2: Đăng nhập bằng bác sĩ phụ trách và mở hồ sơ. 
3: Nhấn Cập nhật hồ sơ. 
4: Kiểm tra form cập nhật hiển thị đúng dữ liệu hiện tại. 
5: Thay đổi Chẩn đoán và Hướng điều trị bằng dữ liệu mới. 
6: Nhấn Hủy. 
7: Kiểm tra form cập nhật được đóng và dữ liệu mới không được lưu. 
8: Mở lại hồ sơ và kiểm tra dữ liệu ban đầu vẫn được giữ nguyên. 
9: Kiểm tra hồ sơ vẫn thuộc đúng lịch hẹn, bệnh nhân, bác sĩ và lịch vẫn Đã hoàn thành.</t>
  </si>
  <si>
    <t>Hệ thống hủy thao tác cập nhật và đóng form chỉnh sửa.
Dữ liệu mới nhập không được lưu.
Chẩn đoán và hướng điều trị cũ vẫn được giữ nguyên.
Hồ sơ vẫn thuộc đúng bệnh nhân, bác sĩ và lịch hẹn.
Trạng thái lịch vẫn là Đã hoàn thành.</t>
  </si>
  <si>
    <t>TCMedical9_1, TCMedical9_2, TCMedical9_3</t>
  </si>
  <si>
    <t>Hệ thống hủy thao tác cập nhật thành công, không lưu dữ liệu tạm và giữ nguyên nội dung hồ sơ bệnh án ban đầu.</t>
  </si>
  <si>
    <t>SCHEDULE - Doctor Schedule Management</t>
  </si>
  <si>
    <t>Doctor Schedule Management</t>
  </si>
  <si>
    <t>1. Kiểm tra hiển thị form Thêm lịch làm việc</t>
  </si>
  <si>
    <t>TC-DS-ADMIN-001</t>
  </si>
  <si>
    <t>Kiểm tra form Thêm lịch làm việc hiển thị đầy đủ thông tin cần thiết.</t>
  </si>
  <si>
    <t>1: Đăng nhập với vai trò Admin.
2: Mở trang Quản lý lịch làm việc bác sĩ.
3: Quan sát form Thêm lịch làm việc.
4: Mở danh sách Bác sĩ.
5: Mở danh sách Ca làm việc.
6: Mở danh sách Trạng thái.
7: Kiểm tra các trường, lựa chọn và giá trị mặc định trên form.</t>
  </si>
  <si>
    <t>Form hiển thị đầy đủ các trường Bác sĩ, Ngày làm việc, Ca làm việc, Trạng thái, Ghi chú và nút Thêm lịch; Bác sĩ mặc định chưa chọn; Ngày làm việc để trống; Ca mặc định là Ca sáng; Trạng thái mặc định là Có lịch làm việc; Ghi chú để trống.</t>
  </si>
  <si>
    <t>TCDsAdmin1_1, TCDsAdmin1_2, TCDsAdmin1_3</t>
  </si>
  <si>
    <t>Giao diện hệ thống hiển thị đúng.</t>
  </si>
  <si>
    <t>2. Kiểm tra thêm lịch với dữ liệu hợp lệ</t>
  </si>
  <si>
    <t>TC-DS-ADMIN-002</t>
  </si>
  <si>
    <t>Kiểm tra Admin thêm lịch làm việc cho bác sĩ với dữ liệu hợp lệ.</t>
  </si>
  <si>
    <t>1: Đăng nhập với vai trò Admin.
2: Mở trang Quản lý lịch làm việc bác sĩ.
3: Chọn một bác sĩ.
4: Chọn một ngày làm việc chưa có lịch tại ca cần tạo.
5: Chọn Ca sáng.
6: Chọn trạng thái Có lịch làm việc.
7: Nhập ghi chú cho lịch.
8: Nhấn Thêm lịch.
9: Kiểm tra thông báo và lịch vừa tạo trong Danh sách lịch làm việc.</t>
  </si>
  <si>
    <t>Hệ thống thêm lịch thành công và lịch mới hiển thị đúng bác sĩ, ngày, ca, trạng thái và ghi chú đã nhập.</t>
  </si>
  <si>
    <t>TCDsAdmin2</t>
  </si>
  <si>
    <t>Hệ thống báo lỗi "Có lỗi xảy ra. Kiểm tra lại đăng nhập hoặc dữ liệu nhập."</t>
  </si>
  <si>
    <t>TCDsAdminRetest2_1, TCDsAdminRetest2_2</t>
  </si>
  <si>
    <t>TC-DS-ADMIN-003</t>
  </si>
  <si>
    <t>Kiểm tra Admin thêm lịch cho bác sĩ với trạng thái Không làm việc.</t>
  </si>
  <si>
    <t>1: Đăng nhập với vai trò Admin.
2: Mở trang Quản lý lịch làm việc bác sĩ.
3: Chọn một bác sĩ.
4: Chọn ngày và ca chưa có lịch.
5: Chọn trạng thái Không làm việc.
6: Nhập ghi chú phù hợp.
7: Nhấn Thêm lịch.
8: Kiểm tra thông báo và lịch vừa tạo trong Danh sách lịch làm việc.</t>
  </si>
  <si>
    <t>Hệ thống thêm lịch thành công với trạng thái Không làm việc và lưu đúng thông tin đã nhập.</t>
  </si>
  <si>
    <t>TCDsAdmin3</t>
  </si>
  <si>
    <t>TCDsAdminRetest3_1, TCDsAdminRetest3_2</t>
  </si>
  <si>
    <t>TC-DS-ADMIN-004</t>
  </si>
  <si>
    <t>Kiểm tra Admin có thể thêm lịch khi để trống Ghi chú.</t>
  </si>
  <si>
    <t>1: Đăng nhập với vai trò Admin.
2: Mở trang Quản lý lịch làm việc bác sĩ.
3: Chọn bác sĩ, ngày làm việc và ca chưa có lịch.
4: Chọn trạng thái Có lịch làm việc.
5: Để trống trường Ghi chú.
6: Nhấn Thêm lịch.
7: Kiểm tra lịch vừa tạo trong Danh sách lịch làm việc.</t>
  </si>
  <si>
    <t>Hệ thống vẫn thêm lịch thành công và trường Ghi chú của lịch để trống.</t>
  </si>
  <si>
    <t>TCDsAdmin4</t>
  </si>
  <si>
    <t>TCDsAdminRetest4_1, TCDsAdminRetest4_2</t>
  </si>
  <si>
    <t>3. Kiểm tra các trường bắt buộc</t>
  </si>
  <si>
    <t>TC-DS-ADMIN-005</t>
  </si>
  <si>
    <t>Kiểm tra hệ thống xử lý khi Admin không chọn bác sĩ.</t>
  </si>
  <si>
    <t>1: Đăng nhập với vai trò Admin.
2: Mở trang Quản lý lịch làm việc bác sĩ.
3: Giữ trường Bác sĩ ở giá trị -- Chọn bác sĩ --.
4: Chọn ngày làm việc hợp lệ.
5: Giữ nguyên ca và trạng thái mặc định.
6: Nhấn Thêm lịch.
7: Kiểm tra phản hồi tại trường Bác sĩ và Danh sách lịch làm việc.</t>
  </si>
  <si>
    <t>Hệ thống yêu cầu chọn bác sĩ và không tạo lịch mới.</t>
  </si>
  <si>
    <t>TCDsAdmin5</t>
  </si>
  <si>
    <t>Có thông báo chặn thao tác do trường Bác sĩ là bắt buộc.</t>
  </si>
  <si>
    <t>TC-DS-ADMIN-006</t>
  </si>
  <si>
    <t>Kiểm tra hệ thống xử lý khi Admin không chọn ngày làm việc.</t>
  </si>
  <si>
    <t>1: Đăng nhập với vai trò Admin.
2: Mở trang Quản lý lịch làm việc bác sĩ.
3: Chọn một bác sĩ.
4: Để trống trường Ngày làm việc.
5: Giữ nguyên ca và trạng thái mặc định.
6: Nhấn Thêm lịch.
7: Kiểm tra phản hồi tại trường Ngày làm việc và Danh sách lịch làm việc.</t>
  </si>
  <si>
    <t>Hệ thống yêu cầu chọn ngày làm việc và không tạo lịch mới.</t>
  </si>
  <si>
    <t>TCDsAdmin6</t>
  </si>
  <si>
    <t>Có thông báo chặn thao tác do trường Ngày làm việc là bắt buộc.</t>
  </si>
  <si>
    <t>4. Kiểm tra ngày làm việc</t>
  </si>
  <si>
    <t>TC-DS-ADMIN-007</t>
  </si>
  <si>
    <t>Kiểm tra hệ thống không cho phép Admin tạo lịch làm việc cho ngày đã qua.</t>
  </si>
  <si>
    <t>1: Đăng nhập với vai trò Admin.
2: Mở trang Quản lý lịch làm việc bác sĩ.
3: Chọn một bác sĩ.
4: Chọn một ngày trước ngày hiện tại.
5: Chọn ca và trạng thái hợp lệ.
6: Nhấn Thêm lịch.
7: Kiểm tra thông báo và Danh sách lịch làm việc.</t>
  </si>
  <si>
    <t>Hệ thống không tạo lịch cho ngày đã qua và hiển thị thông báo ngày làm việc không hợp lệ.</t>
  </si>
  <si>
    <t>TCDsAdmin7_1, TCDsAdmin7_2</t>
  </si>
  <si>
    <t>Hệ thống vẫn cho phép thêm lịch ngày 01/08/2026 và hiển thị thông báo ‘Thêm lịch làm việc thành công!’. Không có validation ngăn ngày làm việc đã qua</t>
  </si>
  <si>
    <t>5. Kiểm tra trùng và xung đột lịch làm việc</t>
  </si>
  <si>
    <t>TC-DS-ADMIN-008</t>
  </si>
  <si>
    <t>Kiểm tra hệ thống không cho phép tạo lịch trùng cho cùng bác sĩ, ngày và ca.</t>
  </si>
  <si>
    <t>1: Đăng nhập với vai trò Admin.
2: Mở trang Quản lý lịch làm việc bác sĩ.
3: Chọn một bác sĩ.
4: Chọn ngày và ca chưa có lịch.
5: Chọn trạng thái và nhập ghi chú.
6: Nhấn Thêm lịch.
7: Nhập lại cùng bác sĩ, cùng ngày và cùng ca.
8: Nhấn Thêm lịch lần nữa.
9: Kiểm tra thông báo và các bản ghi trong Danh sách lịch làm việc.</t>
  </si>
  <si>
    <t>Hệ thống không tạo thêm lịch trùng và chỉ tồn tại một lịch cho cùng bác sĩ, ngày và ca.</t>
  </si>
  <si>
    <t>TCDsAdmin8_1, TCDsAdmin8_2</t>
  </si>
  <si>
    <t>Hệ thống vẫn tạo bản ghi thứ hai khi bác sĩ, ngày, ca, thời gian, trạng thái và ghi chú trùng hoàn toàn. Danh sách xuất hiện hai lịch ID 182 và 183.</t>
  </si>
  <si>
    <t>TCDsAdminRetest8_1, TCDsAdminRetest8_2</t>
  </si>
  <si>
    <t>TC-DS-ADMIN-009</t>
  </si>
  <si>
    <t>Kiểm tra một bác sĩ có thể được xếp nhiều ca khác nhau trong cùng ngày.</t>
  </si>
  <si>
    <t>1: Đăng nhập với vai trò Admin.
2: Mở trang Quản lý lịch làm việc bác sĩ.
3: Xác định một bác sĩ đã có lịch ở một ca trong ngày.
4: Chọn cùng bác sĩ và cùng ngày.
5: Chọn một ca khác với ca đã có.
6: Nhấn Thêm lịch.
7: Kiểm tra các lịch của bác sĩ trong Danh sách lịch làm việc và bảng lịch theo tuần.</t>
  </si>
  <si>
    <t>Ca mới được thêm thành công và lịch ở ca trước vẫn được giữ nguyên.</t>
  </si>
  <si>
    <t>TCDsAdmin9_1, TCDsAdmin9_2</t>
  </si>
  <si>
    <t>Hệ thống thực hiện đúng, và có thông báo thêm lịch thành công.</t>
  </si>
  <si>
    <t>TC-DS-ADMIN-010</t>
  </si>
  <si>
    <t>Kiểm tra nhiều bác sĩ có thể được xếp cùng ngày và cùng ca.</t>
  </si>
  <si>
    <t>1: Đăng nhập với vai trò Admin.
2: Mở trang Quản lý lịch làm việc bác sĩ.
3: Chọn bác sĩ thứ nhất.
4: Chọn ngày, ca và trạng thái hợp lệ rồi nhấn Thêm lịch.
5: Chọn bác sĩ thứ hai.
6: Chọn cùng ngày và cùng ca với bác sĩ thứ nhất.
7: Chọn trạng thái và nhấn Thêm lịch.
8: Kiểm tra các lịch trong Danh sách lịch làm việc và bảng lịch theo tuần.</t>
  </si>
  <si>
    <t>Hệ thống thêm lịch thành công cho bác sĩ thứ hai và cả hai bác sĩ đều có lịch độc lập trong cùng ngày, cùng ca.</t>
  </si>
  <si>
    <t>TCDsAdmin10_1, TCDsAdmin10_2</t>
  </si>
  <si>
    <t>Hệ thống cho phép hai bác sĩ khác nhau có lịch cùng ngày và cùng ca; cả hai lịch được lưu độc lập.</t>
  </si>
  <si>
    <t>TC-DS-ADMIN-011</t>
  </si>
  <si>
    <t>Kiểm tra không cho phép tạo hai lịch có trạng thái khác nhau cho cùng bác sĩ, ngày và ca.</t>
  </si>
  <si>
    <t>1: Đăng nhập với vai trò Admin.
2: Mở trang Quản lý lịch làm việc bác sĩ.
3: Chọn một bác sĩ.
4: Chọn ngày và ca chưa có lịch.
5: Chọn trạng thái Có lịch làm việc và nhấn Thêm lịch.
6: Chọn lại cùng bác sĩ, cùng ngày và cùng ca.
7: Chọn trạng thái Không làm việc.
8: Nhấn Thêm lịch.
9: Kiểm tra thông báo và các bản ghi trong Danh sách lịch làm việc.</t>
  </si>
  <si>
    <t>Hệ thống không tạo thêm lịch có trạng thái khác cho cùng bác sĩ, ngày và ca.</t>
  </si>
  <si>
    <t>TCDsAdmin11</t>
  </si>
  <si>
    <t xml:space="preserve">Hệ thống vẫn tạo thêm bản ghi mới, dẫn đến cùng bác sĩ, cùng ngày và cùng ca tồn tại đồng thời trạng thái Có lịch và Không làm.		</t>
  </si>
  <si>
    <t>TCDsAdminRetest11_1, TCDsAdminRetest11_2</t>
  </si>
  <si>
    <t>6. Kiểm tra hành vi form khi thêm lịch</t>
  </si>
  <si>
    <t>TC-DS-ADMIN-012</t>
  </si>
  <si>
    <t>Kiểm tra hệ thống không tạo nhiều lịch khi Admin nhấn nút Thêm lịch liên tục.</t>
  </si>
  <si>
    <t>1: Đăng nhập với vai trò Admin.
2: Mở trang Quản lý lịch làm việc bác sĩ.
3: Chọn bác sĩ, ngày làm việc, ca, trạng thái và nhập ghi chú hợp lệ cho một lịch chưa tồn tại.
4: Nhấn nút Thêm lịch nhiều lần liên tục.
5: Kiểm tra số bản ghi tương ứng trong Danh sách lịch làm việc.</t>
  </si>
  <si>
    <t>Hệ thống chỉ tạo một lịch làm việc từ thao tác trên.</t>
  </si>
  <si>
    <t>TCDsAdmin12_1, TCDsAdmin12_2, TCDsAdmin12_3</t>
  </si>
  <si>
    <t>Hệ thống chỉ tạo một lịch làm việc dù người dùng nhấn nút Thêm lịch liên tục.</t>
  </si>
  <si>
    <t>TC-DS-ADMIN-013</t>
  </si>
  <si>
    <t>Kiểm tra form trở về trạng thái mặc định sau khi thêm lịch thành công.</t>
  </si>
  <si>
    <t>1: Đăng nhập với vai trò Admin.
2: Mở trang Quản lý lịch làm việc bác sĩ.
3: Chọn bác sĩ, ngày làm việc, ca, trạng thái và nhập ghi chú hợp lệ cho một lịch chưa tồn tại.
4: Nhấn Thêm lịch.
5: Kiểm tra lại các trường trên form Thêm lịch làm việc sau khi thao tác hoàn tất.</t>
  </si>
  <si>
    <t>Form trở về trạng thái mặc định: chưa chọn bác sĩ, ngày làm việc trống, Ca sáng, trạng thái Có lịch làm việc và Ghi chú trống.</t>
  </si>
  <si>
    <t>TCDsAdmin13_1, TCDsAdmin13_2</t>
  </si>
  <si>
    <t>Sau khi thêm lịch thành công, form được reset đúng về các giá trị mặc định.</t>
  </si>
  <si>
    <t>7. Kiểm tra chức năng lọc và xem lịch làm việc</t>
  </si>
  <si>
    <t>TC-DS-ADMIN-014</t>
  </si>
  <si>
    <t>Kiểm tra Admin lọc lịch làm việc theo bác sĩ.</t>
  </si>
  <si>
    <t>1: Đăng nhập với vai trò Admin.
2: Mở trang Quản lý lịch làm việc bác sĩ.
3: Tại mục Lọc lịch làm việc, chọn một bác sĩ có lịch trong tuần đang xem.
4: Quan sát bảng Lịch làm việc theo tuần.
5: Kiểm tra bác sĩ của các lịch đang hiển thị.</t>
  </si>
  <si>
    <t>Bảng lịch theo tuần chỉ hiển thị lịch của bác sĩ được chọn.</t>
  </si>
  <si>
    <t>TCDsAdmin14</t>
  </si>
  <si>
    <t>Bộ lọc theo bác sĩ hoạt động đúng; sau khi chọn Tran Binh, bảng lịch theo tuần chỉ hiển thị lịch của bác sĩ Tran Binh.</t>
  </si>
  <si>
    <t>TC-DS-ADMIN-015</t>
  </si>
  <si>
    <t>Kiểm tra Admin hiển thị lại lịch của tất cả bác sĩ sau khi bỏ điều kiện lọc.</t>
  </si>
  <si>
    <t>1: Đăng nhập với vai trò Admin.
2: Mở trang Quản lý lịch làm việc bác sĩ.
3: Chọn một bác sĩ tại mục Lọc lịch làm việc.
4: Kiểm tra dữ liệu đang được lọc theo bác sĩ đã chọn.
5: Chọn lại Tất cả bác sĩ.
6: Kiểm tra bảng Lịch làm việc theo tuần.</t>
  </si>
  <si>
    <t>Hệ thống bỏ điều kiện lọc và hiển thị lại lịch của tất cả bác sĩ trong tuần đang xem.</t>
  </si>
  <si>
    <t>TCDsAdmin15_1, TCDsAdmin15_2</t>
  </si>
  <si>
    <t>Hệ thống khôi phục đúng dữ liệu khi bỏ điều kiện lọc theo bác sĩ; các lịch của Tran Binh, Pham Dung, Ly Minh và Vu Thinh được hiển thị lại trong bảng tuần.</t>
  </si>
  <si>
    <t>TC-DS-ADMIN-016</t>
  </si>
  <si>
    <t>Kiểm tra Admin chuyển sang tuần trước để xem lịch làm việc.</t>
  </si>
  <si>
    <t>1: Đăng nhập với vai trò Admin.
2: Mở trang Quản lý lịch làm việc bác sĩ.
3: Ghi nhận khoảng ngày của tuần đang hiển thị.
4: Nhấn Tuần trước.
5: Kiểm tra khoảng ngày và dữ liệu trong bảng Lịch làm việc theo tuần.</t>
  </si>
  <si>
    <t>Hệ thống chuyển về tuần liền trước, cập nhật đúng khoảng ngày và hiển thị dữ liệu lịch của tuần đó.</t>
  </si>
  <si>
    <t>TCDsAdmin16_1, TCDsAdmin16_2</t>
  </si>
  <si>
    <t>Chức năng chuyển về tuần trước hoạt động đúng; khoảng thời gian và dữ liệu lịch được hiển thị theo tuần đã chọn.</t>
  </si>
  <si>
    <t>TC-DS-ADMIN-017</t>
  </si>
  <si>
    <t>Kiểm tra Admin chuyển sang tuần sau để xem lịch làm việc.</t>
  </si>
  <si>
    <t>1: Đăng nhập với vai trò Admin.
2: Mở trang Quản lý lịch làm việc bác sĩ.
3: Ghi nhận khoảng ngày của tuần đang hiển thị.
4: Nhấn Tuần sau.
5: Kiểm tra khoảng ngày và dữ liệu trong bảng Lịch làm việc theo tuần.</t>
  </si>
  <si>
    <t>Hệ thống chuyển sang tuần liền sau, cập nhật đúng khoảng ngày và hiển thị dữ liệu lịch của tuần đó.</t>
  </si>
  <si>
    <t>TCDsAdmin17_1, TCDsAdmin17_2</t>
  </si>
  <si>
    <t>Chức năng chuyển sang tuần sau hoạt động đúng; khoảng thời gian và dữ liệu lịch được hiển thị theo tuần đã chọn.</t>
  </si>
  <si>
    <t>8. Kiểm tra chức năng sửa lịch làm việc</t>
  </si>
  <si>
    <t>TC-DS-ADMIN-018</t>
  </si>
  <si>
    <t>Kiểm tra Admin cập nhật lịch làm việc đã tồn tại của bác sĩ.</t>
  </si>
  <si>
    <t>1: Đăng nhập với vai trò Admin.
2: Mở trang Quản lý lịch làm việc bác sĩ.
3: Tại Danh sách lịch làm việc, chọn một lịch đã tồn tại và nhấn Sửa.
4: Kiểm tra thông tin lịch được đưa lên form Cập nhật lịch làm việc.
5: Thay đổi trạng thái của lịch.
6: Thay đổi Ghi chú.
7: Nhấn Cập nhật.
8: Kiểm tra thông báo và thông tin lịch sau khi cập nhật trong Danh sách lịch làm việc.</t>
  </si>
  <si>
    <t>Hệ thống cập nhật lịch thành công, lưu đúng thông tin mới và không tạo thêm bản ghi lịch khác.</t>
  </si>
  <si>
    <t>TCDsAdmin18_1, TCDsAdmin18_2</t>
  </si>
  <si>
    <t>Hệ thống phát sinh lỗi HTTP 400 khi cập nhật lịch làm việc và không lưu thông tin thay đổi.</t>
  </si>
  <si>
    <t>TCDsAdminRetest18_1, TCDsAdminRetest18_2, TCDsAdminRetest18_3</t>
  </si>
  <si>
    <t>TC-DS-ADMIN-019</t>
  </si>
  <si>
    <t>Kiểm tra Hủy sửa không làm thay đổi thông tin lịch làm việc.</t>
  </si>
  <si>
    <t>1: Đăng nhập với vai trò Admin.
2: Mở trang Quản lý lịch làm việc bác sĩ.
3: Chọn một lịch trong Danh sách lịch làm việc và ghi nhận thông tin ban đầu.
4: Nhấn Sửa.
5: Thay đổi một số thông tin trên form nhưng chưa nhấn Cập nhật.
6: Nhấn Hủy sửa.
7: Kiểm tra form và thông tin của lịch trong Danh sách lịch làm việc.</t>
  </si>
  <si>
    <t>Form thoát khỏi chế độ cập nhật, trở về trạng thái thêm lịch và dữ liệu của lịch ban đầu không bị thay đổi.</t>
  </si>
  <si>
    <t>TCDsAdmin19_1, TCDsAdmin19_2, TCDsAdmin19_3</t>
  </si>
  <si>
    <t>Chức năng Hủy sửa hoạt động đúng, không làm thay đổi dữ liệu của lịch hiện có.</t>
  </si>
  <si>
    <t>9. Kiểm tra chức năng xóa lịch làm việc</t>
  </si>
  <si>
    <t>TC-DS-ADMIN-020</t>
  </si>
  <si>
    <t>Kiểm tra Admin xóa lịch làm việc đã tồn tại của bác sĩ.</t>
  </si>
  <si>
    <t>1: Đăng nhập với vai trò Admin.
2: Mở trang Quản lý lịch làm việc bác sĩ.
3: Xác định một lịch dùng cho kiểm thử xóa trong Danh sách lịch làm việc.
4: Nhấn Xóa tại lịch đó.
5: Xác nhận thao tác xóa trên hộp thoại.
6: Kiểm tra thông báo của hệ thống.
7: Kiểm tra lại Danh sách lịch làm việc và bảng lịch theo tuần.</t>
  </si>
  <si>
    <t>Hệ thống xóa lịch thành công; lịch đã xóa không còn xuất hiện trong Danh sách lịch làm việc và bảng lịch theo tuần.</t>
  </si>
  <si>
    <t>TCDsAdmin20_1, TCDsAdmin20_2, TCDsAdmin20_3</t>
  </si>
  <si>
    <t>Chức năng xóa lịch hoạt động đúng; hệ thống yêu cầu xác nhận trước khi xóa và loại bỏ lịch khỏi danh sách sau khi xác nhận.</t>
  </si>
  <si>
    <t>PATIENT - My Appointments</t>
  </si>
  <si>
    <t>Patient Appointment Tracking</t>
  </si>
  <si>
    <t>1. Kiểm tra truy cập trang Lịch hẹn của tôi</t>
  </si>
  <si>
    <t>TC-MYAPPOINTMENT-001</t>
  </si>
  <si>
    <t>Kiểm tra lịch hẹn sau khi bệnh nhân đặt thành công được hiển thị trong trang Lịch hẹn của tôi với trạng thái ban đầu là Chờ xác nhận.</t>
  </si>
  <si>
    <t>1: Đăng nhập bằng tài khoản Patient.
2: Thực hiện đặt một lịch khám hợp lệ với Doctor và nhập ghi chú.
3: Xác nhận hệ thống đặt lịch thành công.
4: Ghi nhận Doctor, ngày giờ khám và ghi chú của lịch vừa tạo.
5: Mở trang Lịch hẹn của tôi.
6: Tìm lịch hẹn vừa tạo trong danh sách.
7: Kiểm tra Doctor, ngày giờ khám và ghi chú hiển thị đúng.
8: Kiểm tra trạng thái lịch hẹn là “Chờ xác nhận”.</t>
  </si>
  <si>
    <t>Lịch hẹn vừa tạo xuất hiện trong danh sách.
Tên bác sĩ, thời gian khám và ghi chú hiển thị đúng.
Trạng thái của lịch hẹn là “Chờ xác nhận”.</t>
  </si>
  <si>
    <t>TCMyAppointment1_1, TCMyAppointment1_2, TCMyAppointment1_3</t>
  </si>
  <si>
    <t>Lịch hẹn mới được tạo thành công và hiển thị đúng trạng thái ban đầu “Chờ xác nhận”.</t>
  </si>
  <si>
    <t>2. Admin xử lý lịch hẹn</t>
  </si>
  <si>
    <t>TC-MYAPPOINTMENT-002</t>
  </si>
  <si>
    <t>Kiểm tra trạng thái lịch hẹn của Patient được cập nhật sau khi Admin xác nhận lịch.</t>
  </si>
  <si>
    <t>1: Patient thực hiện đặt một lịch khám hợp lệ và ghi nhận thông tin lịch vừa tạo.
2: Đăng nhập bằng tài khoản Admin và mở trang Quản lý lịch hẹn.
3: Tìm đúng lịch hẹn vừa được Patient tạo đang ở trạng thái “Chờ xác nhận”.
4: Admin thực hiện Xác nhận lịch hẹn.
5: Kiểm tra lịch hẹn được cập nhật thành “Đã xác nhận” trên trang Admin.
6: Đăng nhập lại bằng Patient sở hữu lịch hẹn.
7: Mở trang Lịch hẹn của tôi và tìm lịch vừa được Admin xử lý.
8: Kiểm tra thông tin lịch hẹn không thay đổi và trạng thái là “Đã xác nhận”.</t>
  </si>
  <si>
    <t>Lịch hẹn vẫn hiển thị đúng bác sĩ, thời gian và ghi chú ban đầu.
Trạng thái được cập nhật từ “Chờ xác nhận” thành “Đã xác nhận”.</t>
  </si>
  <si>
    <t>TCMyAppointment2_1, TCMyAppointment2_2, TCMyAppointment2_3</t>
  </si>
  <si>
    <t>Trạng thái lịch hẹn được đồng bộ chính xác giữa trang quản lý của Admin và trang “Lịch hẹn của tôi” của Patient.</t>
  </si>
  <si>
    <t>TC-MYAPPOINTMENT-003</t>
  </si>
  <si>
    <t>Kiểm tra trạng thái lịch hẹn của Patient sau khi Admin thực hiện hủy lịch.</t>
  </si>
  <si>
    <t>1: Patient thực hiện đặt một lịch khám hợp lệ và ghi nhận thông tin lịch vừa tạo.
2: Đăng nhập bằng tài khoản Admin và mở trang Quản lý lịch hẹn.
3: Tìm đúng lịch hẹn vừa tạo đang ở trạng thái “Chờ xác nhận”.
4: Admin thực hiện Hủy lịch hẹn.
5: Kiểm tra lịch hẹn được cập nhật thành “Đã hủy” trên trang Admin.
6: Đăng nhập lại bằng Patient sở hữu lịch hẹn.
7: Mở trang Lịch hẹn của tôi và tìm lịch vừa bị hủy.
8: Kiểm tra lịch vẫn tồn tại, thông tin không thay đổi và trạng thái là “Đã hủy”.</t>
  </si>
  <si>
    <t>Lịch hẹn vẫn tồn tại trong lịch sử danh sách.
Trạng thái của lịch hẹn được cập nhật thành “Đã hủy”.
Thông tin bác sĩ và thời gian của lịch hẹn không bị thay đổi ngoài trạng thái.</t>
  </si>
  <si>
    <t>TCMyAppointment3_1, TCMyAppointment3_2, TCMyAppointment3_3</t>
  </si>
  <si>
    <t>Trạng thái lịch hẹn được cập nhật đúng từ “Chờ xác nhận” sang “Đã hủy” sau khi Admin thực hiện hủy.</t>
  </si>
  <si>
    <t>3. Bác sĩ thực hiện khám</t>
  </si>
  <si>
    <t>TC-MYAPPOINTMENT-004</t>
  </si>
  <si>
    <t>Kiểm tra lịch hẹn được cập nhật đúng xuyên suốt từ khi Patient đặt lịch, Admin xác nhận đến khi Doctor hoàn thành khám.</t>
  </si>
  <si>
    <t>1: Patient thực hiện đặt một lịch khám hợp lệ với Doctor và ghi nhận thông tin lịch.
2: Mở Lịch hẹn của tôi và kiểm tra lịch vừa tạo có trạng thái “Chờ xác nhận”.
3: Đăng nhập Admin, tìm đúng lịch hẹn và thực hiện Xác nhận.
4: Kiểm tra lịch được cập nhật thành “Đã xác nhận”.
5: Đăng nhập bằng Doctor của lịch hẹn và mở Lịch hẹn bệnh nhân.
6: Tìm đúng lịch đã được Admin xác nhận và thực hiện Khám bệnh.
7: Nhập kết quả khám và lưu hồ sơ bệnh án thành công.
8: Đăng nhập lại bằng Patient và mở Lịch hẹn của tôi.
9: Kiểm tra đúng lịch hẹn chuyển thành “Đã hoàn thành” và các thông tin ban đầu không bị thay đổi.</t>
  </si>
  <si>
    <t>Sau khi Patient đặt lịch, lịch được tạo với trạng thái “Chờ xác nhận”.
Sau khi Admin xác nhận, lịch chuyển thành “Đã xác nhận” và xuất hiện đúng trong danh sách của Doctor.
Doctor có thể thực hiện khám và lưu hồ sơ bệnh án cho đúng lịch hẹn.
Sau khi Doctor hoàn thành khám, lịch chuyển thành “Đã hoàn thành”.
Trong toàn bộ quá trình, ID, bác sĩ, thời gian khám và ghi chú của lịch hẹn không bị thay đổi ngoài trạng thái.
Không phát sinh thêm bản ghi lịch hẹn trùng.</t>
  </si>
  <si>
    <t>TCMyAppointment4_1, TCMyAppointment4_2, TCMyAppointment4_3, TCMyAppointment4_4</t>
  </si>
  <si>
    <t>Lịch hẹn được cập nhật đúng xuyên suốt từ “Chờ xác nhận” -&gt; “Đã xác nhận” -&gt; “Đã hoàn thành” sau khi Doctor hoàn tất khám.</t>
  </si>
  <si>
    <t>4. Kiểm tra khung giờ được giải phóng sau khi lịch hẹn bị hủy</t>
  </si>
  <si>
    <t>TC-MYAPPOINTMENT-005</t>
  </si>
  <si>
    <t>Kiểm tra khung giờ của một lịch hẹn đã bị hủy có thể được sử dụng để tạo lịch hẹn mới.</t>
  </si>
  <si>
    <t>1: Patient A thực hiện đặt lịch với Doctor tại một ngày và khung giờ hợp lệ.
2: Ghi nhận Doctor, ngày và khung giờ của lịch vừa tạo.
3: Đăng nhập Admin, tìm đúng lịch của Patient A và thực hiện Hủy lịch.
4: Kiểm tra lịch của Patient A được cập nhật thành “Đã hủy”.
5: Đăng nhập bằng Patient B và mở chức năng đặt lịch với cùng Doctor.
6: Chọn lại đúng ngày và khung giờ của lịch vừa bị hủy.
7: Nhập ghi chú và thực hiện đặt lịch mới.
8: Mở Lịch hẹn của tôi và tìm lịch mới của Patient B.
9: Kiểm tra lịch mới được tạo thành công với trạng thái “Chờ xác nhận” tại đúng khung giờ đã được giải phóng.</t>
  </si>
  <si>
    <t>Lịch của Patient A vẫn giữ trạng thái “Đã hủy”.
Khung giờ của lịch đã hủy được giải phóng.
Patient B có thể đặt lịch mới với cùng Doctor tại cùng ngày giờ.
Lịch mới có ID khác và trạng thái “Chờ xác nhận”.</t>
  </si>
  <si>
    <t>TCMyAppointment5_1, TCMyAppointment5_2, TCMyAppointment5_3</t>
  </si>
  <si>
    <t>Lịch hẹn đã hủy không còn chiếm khung giờ, hệ thống cho phép tạo lịch mới tại cùng ngày giờ với trạng thái “Chờ xác nhận”.</t>
  </si>
  <si>
    <t>MEDICAL - Medical History</t>
  </si>
  <si>
    <t>Patient Medical History</t>
  </si>
  <si>
    <t>1. Kiểm tra thời điểm phát sinh lịch sử khám bệnh</t>
  </si>
  <si>
    <t>TC-MEDICALHISTORY-001</t>
  </si>
  <si>
    <t>Kiểm tra lịch hẹn chưa được Doctor khám không phát sinh Lịch sử khám bệnh.</t>
  </si>
  <si>
    <t>1: Đăng nhập bằng tài khoản Patient.
2: Tạo một lịch hẹn hợp lệ.
3: Mở trang Lịch sử khám bệnh.
4: Kiểm tra lịch hẹn vừa tạo trong danh sách lịch sử khám.</t>
  </si>
  <si>
    <t>Lịch hẹn vừa tạo chưa xuất hiện trong Lịch sử khám bệnh.
Không phát sinh bản ghi khám bệnh khi Doctor chưa thực hiện khám.</t>
  </si>
  <si>
    <t>TCMedicalHistory1_1, TCMedicalHistory1_2, TCMedicalHistory1_3</t>
  </si>
  <si>
    <t>Lịch hẹn mới chưa được Doctor khám nên không phát sinh bản ghi trong Lịch sử khám bệnh.</t>
  </si>
  <si>
    <t>TC-MEDICALHISTORY-002</t>
  </si>
  <si>
    <t>Kiểm tra lịch hẹn đã được Admin xác nhận nhưng chưa được Doctor khám không phát sinh Lịch sử khám bệnh.</t>
  </si>
  <si>
    <t>1: Đăng nhập bằng tài khoản Patient.
2: Tạo một lịch hẹn hợp lệ.
3: Đăng xuất và đăng nhập bằng tài khoản Admin.
4: Xác nhận lịch hẹn vừa tạo.
5: Đăng xuất và đăng nhập lại bằng tài khoản Patient.
6: Mở trang Lịch sử khám bệnh.
7: Kiểm tra lịch hẹn vừa được xác nhận trong danh sách lịch sử khám</t>
  </si>
  <si>
    <t>Lịch hẹn đã xác nhận chưa xuất hiện trong Lịch sử khám bệnh.
Hệ thống chỉ ghi nhận lịch sử khám sau khi Doctor thực hiện khám và lưu kết quả.</t>
  </si>
  <si>
    <t>TCMedicalHistory2_1, TCMedicalHistory2_2, TCMedicalHistory2_3</t>
  </si>
  <si>
    <t>Lịch hẹn đã được Admin xác nhận nhưng chưa được Doctor khám nên chưa phát sinh bản ghi trong Lịch sử khám bệnh.</t>
  </si>
  <si>
    <t>2. Kiểm tra tạo lịch sử khám sau khi Doctor khám</t>
  </si>
  <si>
    <t>TC-MEDICALHISTORY-003</t>
  </si>
  <si>
    <t>Kiểm tra Lịch sử khám bệnh được tạo sau khi Doctor hoàn thành khám và lưu hồ sơ bệnh án.</t>
  </si>
  <si>
    <t>1: Đăng nhập bằng tài khoản Patient.
2: Tạo một lịch hẹn hợp lệ.
3: Đăng xuất và đăng nhập bằng tài khoản Admin.
4: Xác nhận lịch hẹn vừa tạo.
5: Đăng xuất và đăng nhập bằng tài khoản Doctor phụ trách lịch hẹn.
6: Mở lịch hẹn và chọn Khám bệnh.
7: Nhập thông tin khám và lưu hồ sơ bệnh án.
8: Đăng xuất và đăng nhập lại bằng tài khoản Patient.
9: Mở trang Lịch sử khám bệnh.
10: Kiểm tra bản ghi của lần khám vừa hoàn thành.</t>
  </si>
  <si>
    <t>Lần khám vừa hoàn thành xuất hiện trong Lịch sử khám bệnh của Patient.
Bản ghi thuộc đúng Patient và Doctor thực hiện khám.
Thông tin lần khám được ghi nhận sau khi Doctor lưu hồ sơ bệnh án.</t>
  </si>
  <si>
    <t>TCMedicalHistory3_1, TCMedicalHistory3_2, TCMedicalHistory3_3</t>
  </si>
  <si>
    <t>Sau khi Doctor hoàn thành khám và lưu hồ sơ bệnh án, lần khám mới được ghi nhận đúng trong Lịch sử khám bệnh của Patient.</t>
  </si>
  <si>
    <t>3. Kiểm tra chi tiết lịch sử khám</t>
  </si>
  <si>
    <t>TC-MEDICALHISTORY-004</t>
  </si>
  <si>
    <t>Kiểm tra thông tin chi tiết của một bản ghi Lịch sử khám bệnh.</t>
  </si>
  <si>
    <t>1: Đăng nhập bằng tài khoản Patient đã có Lịch sử khám bệnh.
2: Mở trang Lịch sử khám bệnh.
3: Chọn một bản ghi và ghi nhận thông tin nhận diện của bản ghi.
4: Nhấn Xem chi tiết.
5: Kiểm tra trang chi tiết của bản ghi vừa chọn.</t>
  </si>
  <si>
    <t>Hệ thống mở đúng hồ sơ của bản ghi đã chọn.
Trang chi tiết hiển thị đầy đủ thông tin của hồ sơ.
Thông tin hiển thị tương ứng với bản ghi được chọn.</t>
  </si>
  <si>
    <t>TCMedicalHistory4_1, TCMedicalHistory4-2</t>
  </si>
  <si>
    <t>Nhấn “Xem chi tiết” chuyển đến đúng trang hồ sơ nhưng nội dung chi tiết không được hiển thị.</t>
  </si>
  <si>
    <t>TCMedicalHistoryRetest4_1, TCMedicalHistoryRetest4_2</t>
  </si>
  <si>
    <t>4. Kiểm tra dữ liệu giữa các Patient</t>
  </si>
  <si>
    <t>TC-MEDICALHISTORY-005</t>
  </si>
  <si>
    <t>Kiểm tra Lịch sử khám bệnh được phân tách theo từng Patient.</t>
  </si>
  <si>
    <t>1: Đăng nhập bằng Patient A.
2: Mở trang Lịch sử khám bệnh và ghi nhận các bản ghi hiển thị.
3: Đăng xuất Patient A.
4: Đăng nhập bằng Patient B.
5: Mở trang Lịch sử khám bệnh.
6: So sánh danh sách lịch sử khám của hai Patient.</t>
  </si>
  <si>
    <t>Mỗi Patient chỉ nhìn thấy các bản ghi Lịch sử khám bệnh thuộc tài khoản của mình.
Không xuất hiện bản ghi của Patient A trong lịch sử của Patient B và ngược lại.
Dữ liệu giữa hai Patient được phân tách riêng.</t>
  </si>
  <si>
    <t>TCMedicalHistory5_1, TCMedicalHistory5_2</t>
  </si>
  <si>
    <t>Lịch sử khám bệnh được phân tách đúng theo từng Patient, không xảy ra lẫn dữ liệu giữa các tài khoản.</t>
  </si>
  <si>
    <t>5. Kiểm tra cập nhật hồ sơ bệnh án</t>
  </si>
  <si>
    <t>TC-MEDICALHISTORY-006</t>
  </si>
  <si>
    <t>Kiểm tra Lịch sử khám bệnh được cập nhật sau khi Doctor chỉnh sửa hồ sơ bệnh án.</t>
  </si>
  <si>
    <t>1: Đăng nhập bằng tài khoản Patient đã có hồ sơ bệnh án hoàn thành.
2: Mở trang Lịch sử khám bệnh và ghi nhận thông tin của một bản ghi.
3: Đăng xuất và đăng nhập bằng tài khoản Doctor phụ trách hồ sơ.
4: Mở hồ sơ bệnh án tương ứng và chọn Cập nhật hồ sơ.
5: Thay đổi thông tin khám và lưu cập nhật.
6: Đăng xuất và đăng nhập lại bằng tài khoản Patient.
7: Mở trang Lịch sử khám bệnh.
8: Kiểm tra bản ghi vừa được Doctor cập nhật.</t>
  </si>
  <si>
    <t>Thông tin đã chỉnh sửa được cập nhật trong Lịch sử khám bệnh của Patient.
Bản ghi vẫn giữ nguyên ID ban đầu.
Hệ thống không tạo thêm bản ghi mới sau khi cập nhật hồ sơ.
Các bản ghi Lịch sử khám bệnh khác không bị thay đổi.</t>
  </si>
  <si>
    <t>TCMedicalHistory6_1, TCMedicalHistory6_2, TCMedicalHistory6_3</t>
  </si>
  <si>
    <t>Hồ sơ bệnh án được cập nhật thành công, dữ liệu mới được đồng bộ đúng vào Lịch sử khám bệnh của Patient mà không tạo thêm bản ghi mới.</t>
  </si>
  <si>
    <t>SCHEDULE - Doctor Work Schedule</t>
  </si>
  <si>
    <t>Doctor Work Schedule</t>
  </si>
  <si>
    <t>1. Kiểm tra lịch làm việc theo tuần của bác sĩ</t>
  </si>
  <si>
    <t>TC-WORKSCHEDULE-001</t>
  </si>
  <si>
    <t>Kiểm tra Doctor xem được đúng thông tin cá nhân và lịch làm việc của mình trong tuần được hiển thị.</t>
  </si>
  <si>
    <t>1: Đăng nhập bằng tài khoản Doctor có lịch làm việc.
2: Mở trang Lịch làm việc của tôi.
3: Kiểm tra tên Doctor và chuyên khoa hiển thị trên trang.
4: Kiểm tra khoảng thời gian và 7 ngày của tuần đang hiển thị.
5: Kiểm tra các ca Sáng, Chiều, Tối trong bảng lịch theo tuần.
6: Kiểm tra các ca có lịch hiển thị đúng Doctor và các ca không có lịch hiển thị “Trống”.</t>
  </si>
  <si>
    <t>Hiển thị đúng tên Doctor đang đăng nhập.
Hiển thị đúng chuyên khoa của Doctor.
Hiển thị đúng khoảng ngày của tuần hiện tại.
Các ca có lịch được hiển thị đúng ngày và đúng ca làm việc.
Những ngày/ca không có lịch được hiển thị “Trống”.
Không hiển thị lịch làm việc của Doctor khác.</t>
  </si>
  <si>
    <t>TCWorkSchedule1</t>
  </si>
  <si>
    <t>Lịch làm việc của Doctor được hiển thị đúng theo tuần, bao gồm các ca có lịch, ca nghỉ và các ca trống.</t>
  </si>
  <si>
    <t>TC-WORKSCHEDULE-002</t>
  </si>
  <si>
    <t>Kiểm tra chức năng Tuần trước hiển thị đúng lịch làm việc của Doctor trong tuần liền trước.</t>
  </si>
  <si>
    <t>1: Đăng nhập bằng tài khoản Doctor.
2: Mở trang Lịch làm việc của tôi và ghi nhận tuần đang hiển thị.
3: Nhấn Tuần trước.
4: Kiểm tra khoảng thời gian và các ngày sau khi chuyển tuần.
5: Kiểm tra dữ liệu lịch làm việc thuộc tuần vừa chọn.</t>
  </si>
  <si>
    <t>Khoảng thời gian chuyển đúng về tuần liền trước.
Các ngày trong bảng được cập nhật theo tuần mới.
Chỉ hiển thị lịch làm việc thuộc tuần được chọn.
Các ca có lịch và ca trống được hiển thị đúng theo dữ liệu của tuần đó.
Không còn hiển thị nhầm dữ liệu của tuần trước khi chuyển.</t>
  </si>
  <si>
    <t>TCWorkSchedule2_1, TCWorkSchedule2_2</t>
  </si>
  <si>
    <t>Chức năng “Tuần trước” chuyển đúng khoảng thời gian và hiển thị đúng lịch làm việc tương ứng.</t>
  </si>
  <si>
    <t>TC-WORKSCHEDULE-003</t>
  </si>
  <si>
    <t>Kiểm tra chức năng Tuần sau hiển thị đúng lịch làm việc của Doctor trong tuần kế tiếp.</t>
  </si>
  <si>
    <t>1: Đăng nhập bằng tài khoản Doctor.
2: Mở trang Lịch làm việc của tôi và ghi nhận tuần đang hiển thị.
3: Nhấn Tuần sau.
4: Kiểm tra khoảng thời gian và các ngày sau khi chuyển tuần.
5: Kiểm tra dữ liệu lịch làm việc thuộc tuần vừa chọn.</t>
  </si>
  <si>
    <t>Khoảng thời gian chuyển đúng sang tuần kế tiếp.
Các ngày trong bảng được cập nhật đúng theo tuần mới.
Chỉ hiển thị lịch làm việc thuộc tuần được chọn.
Các ca có lịch và ca trống được hiển thị đúng theo dữ liệu của tuần đó.
Không hiển thị nhầm dữ liệu của tuần trước đó.</t>
  </si>
  <si>
    <t>TCWorkSchedule3_1, TCWorkSchedule3_2</t>
  </si>
  <si>
    <t>Chức năng “Tuần sau” chuyển đúng khoảng thời gian và hiển thị đúng lịch làm việc tương ứng.</t>
  </si>
  <si>
    <t>2. Kiểm tra tính chính xác và phân tách dữ liệu lịch làm việc</t>
  </si>
  <si>
    <t>TC-WORKSCHEDULE-004</t>
  </si>
  <si>
    <t>Kiểm tra thông tin lịch làm việc trong bảng Lịch làm việc theo tuần khớp với dữ liệu trong Danh sách lịch làm việc của Doctor.</t>
  </si>
  <si>
    <t>1: Đăng nhập bằng tài khoản Doctor có lịch làm việc.
2: Mở trang Lịch làm việc của tôi.
3: Ghi nhận các lịch làm việc đang hiển thị trong bảng Lịch làm việc theo tuần.
4: Mở khu vực Danh sách lịch làm việc phía dưới.
5: Ghi nhận các lịch làm việc trong danh sách.
6: Đối chiếu Doctor, ngày, ca và thời gian giữa hai khu vực.</t>
  </si>
  <si>
    <t>Mỗi ca có lịch trong bảng theo tuần có bản ghi tương ứng trong danh sách lịch làm việc.
Doctor hiển thị đúng.
Ngày làm việc khớp giữa hai khu vực.
Ca làm việc khớp.
Thời gian bắt đầu và kết thúc đúng với ca tương ứng.
Không xuất hiện bản ghi sai ngày hoặc sai ca.</t>
  </si>
  <si>
    <t>TCWorkSchedule4_1, TCWorkSchedule4_2</t>
  </si>
  <si>
    <t>Dữ liệu giữa Lịch làm việc theo tuần và Danh sách lịch làm việc hiển thị đồng nhất về ngày, ca, thời gian và trạng thái.</t>
  </si>
  <si>
    <t>TC-WORKSCHEDULE-005</t>
  </si>
  <si>
    <t>Kiểm tra mỗi Doctor chỉ xem được lịch làm việc thuộc tài khoản của mình và không bị hiển thị lịch của Doctor khác.</t>
  </si>
  <si>
    <t>1: Đăng nhập bằng Doctor A.
2: Mở Lịch làm việc của tôi và ghi nhận tên Doctor, chuyên khoa và lịch đang hiển thị.
3: Đăng xuất Doctor A.
4: Đăng nhập bằng Doctor B.
5: Mở Lịch làm việc của tôi và ghi nhận tên Doctor, chuyên khoa và lịch đang hiển thị.
6: Kiểm tra Doctor B chỉ thấy thông tin và lịch làm việc của mình.
7: Đối chiếu dữ liệu Doctor A và Doctor B để bảo đảm không bị lẫn lịch.</t>
  </si>
  <si>
    <t>Khi đăng nhập Doctor A, hệ thống hiển thị đúng tên, chuyên khoa và lịch làm việc của Doctor A.
Khi đăng nhập Doctor B, hệ thống hiển thị đúng thông tin và lịch làm việc của Doctor B.
Không hiển thị lịch của Doctor A trong tài khoản Doctor B và ngược lại.
Dữ liệu lịch làm việc được phân tách đúng theo từng Doctor.</t>
  </si>
  <si>
    <t>TCWorkSchedule5_1, TCWorkSchedule5_2</t>
  </si>
  <si>
    <t>Lịch làm việc được hiển thị và phân tách đúng theo từng Doctor, không xảy ra lẫn dữ liệu giữa các tài khoản.</t>
  </si>
  <si>
    <t>NOTIFICATION - Patient Notifications</t>
  </si>
  <si>
    <t>Patient Notification</t>
  </si>
  <si>
    <t>1. Kiểm tra Patient nhận thông báo sau khi lịch hẹn được Admin thao tác</t>
  </si>
  <si>
    <t>TC-NOTIFICATION-001</t>
  </si>
  <si>
    <t xml:space="preserve">Kiểm tra Patient nhận được thông báo đúng sau khi Admin xác nhận lịch hẹn mà Patient đã đặt.
</t>
  </si>
  <si>
    <t xml:space="preserve">1: Patient thực hiện đặt một lịch khám hợp lệ.
2: Đăng nhập bằng Admin.
3: Mở Quản lý lịch hẹn và xác nhận lịch vừa tạo.
4: Đăng xuất Admin và đăng nhập lại bằng Patient.
5: Mở trang Thông báo.
6: Tìm thông báo liên quan đến lịch hẹn vừa được xác nhận.
7: Kiểm tra loại, nội dung và thời gian của thông báo.
</t>
  </si>
  <si>
    <t>Patient nhận được thông báo cho đúng lịch hẹn vừa được Admin xác nhận.
Thông báo thuộc loại [Lịch hẹn].
Nội dung thông báo chứa đúng mã lịch hẹn và thể hiện lịch hẹn đã được xác nhận.
Không lấy nhầm thông báo của lịch hẹn khác.
Thời gian thông báo được hiển thị và đúng định dạng HH:mm:ss dd/MM/yyyy.</t>
  </si>
  <si>
    <t>TCNotification1_1, TCNotification1_2, TCNotification1_3</t>
  </si>
  <si>
    <t>Thông báo lịch hẹn được tạo và hiển thị đúng cho Patient sau khi Admin xác nhận lịch.</t>
  </si>
  <si>
    <t>TC-NOTIFICATION-002</t>
  </si>
  <si>
    <t>Kiểm tra Patient nhận được thông báo phù hợp khi Admin thực hiện hủy lịch hẹn của Patient.</t>
  </si>
  <si>
    <t>1: Patient đặt một lịch khám hợp lệ.
2: Đăng nhập bằng Admin.
3: Mở Quản lý lịch hẹn và hủy lịch vừa tạo.
4: Đăng xuất Admin và đăng nhập lại bằng Patient.
5: Mở trang Thông báo.
6: Tìm thông báo liên quan đến lịch hẹn vừa bị hủy.
7: Kiểm tra loại và nội dung thông báo.</t>
  </si>
  <si>
    <t>Patient nhận được thông báo cho đúng lịch hẹn vừa bị Admin hủy.
Thông báo thuộc loại [Lịch hẹn].
Nội dung thông báo chứa đúng mã lịch hẹn và thể hiện lịch hẹn đã bị hủy.
Không lấy nhầm thông báo của lịch hẹn khác.
Thời gian thông báo được hiển thị và đúng định dạng HH:mm:ss dd/MM/yyyy.</t>
  </si>
  <si>
    <t>TCNotification2_1 TCNotification2_2, TCNotification2_3</t>
  </si>
  <si>
    <t>Không phát sinh thông báo cho Patient sau khi Admin hủy lịch hẹn.</t>
  </si>
  <si>
    <t>TCNotificationRetest2_1, TCNotificationRetest2_2, TCNotificationRetest2_3</t>
  </si>
  <si>
    <t>2. Kiểm tra Patient nhận thông báo sau khi lịch hẹn được Doctor thao tác</t>
  </si>
  <si>
    <t>TC-NOTIFICATION-003</t>
  </si>
  <si>
    <t>Kiểm tra Patient nhận được thông báo sau khi Doctor thực hiện khám, nhập chẩn đoán và hướng điều trị, sau đó lưu hồ sơ bệnh án.</t>
  </si>
  <si>
    <t>1: Chuẩn bị Patient có lịch hẹn đã được Admin xác nhận.
2: Đăng nhập bằng Doctor phụ trách lịch hẹn.
3: Mở lịch hẹn của Patient và chọn Khám bệnh.
4: Nhập Chẩn đoán và Hướng điều trị hợp lệ.
5: Lưu hồ sơ bệnh án.
6: Đăng xuất Doctor và đăng nhập lại bằng Patient.
7: Mở trang Thông báo.
8: Tìm và kiểm tra thông báo mới phát sinh sau khi Doctor lưu hồ sơ bệnh án, bao gồm nội dung và thời gian thông báo.</t>
  </si>
  <si>
    <t>Patient nhận được thông báo mới sau khi Doctor cập nhật kết quả khám. Loại thông báo hiển thị là [Thông báo], nội dung thể hiện “Kết quả khám của bạn đã được bác sĩ ... cập nhật”, kèm thời gian thông báo.</t>
  </si>
  <si>
    <t>TCNotification3_1, TCNotification3_2, TCNotification3_3</t>
  </si>
  <si>
    <t>Không phát sinh thông báo cho Patient sau khi Doctor lưu kết quả khám.</t>
  </si>
  <si>
    <t>TCNotificationRetest3_1, TCNotificationRetest3_2, TCNotificationRetest3_3</t>
  </si>
  <si>
    <t>3. Kiểm tra lưu trữ và phân tách thông báo</t>
  </si>
  <si>
    <t>TC-NOTIFICATION-004</t>
  </si>
  <si>
    <t>Kiểm tra khi Patient phát sinh nhiều thông báo từ các sự kiện khác nhau, các thông báo được lưu thành các bản ghi riêng biệt và không ghi đè lẫn nhau.</t>
  </si>
  <si>
    <t>1: Đăng nhập bằng Patient.
2: Tạo một lịch hẹn mới hợp lệ.
3: Đăng xuất Patient và đăng nhập bằng Admin.
4: Mở trang Quản lý lịch hẹn và xác nhận lịch hẹn vừa tạo.
5: Đăng xuất Admin và đăng nhập lại bằng Patient.
6: Mở trang Thông báo.
7: Kiểm tra thông báo mới của lịch vừa được xác nhận.
8: Kiểm tra thông báo đã tồn tại trước đó vẫn còn hiển thị.</t>
  </si>
  <si>
    <t>Patient nhận được thông báo mới tương ứng với sự kiện vừa phát sinh.
Thông báo mới được hiển thị trong danh sách Thông báo.
Các thông báo đã tồn tại trước đó vẫn còn hiển thị, không bị mất hoặc ghi đè.
Nội dung của các thông báo không bị trộn lẫn.</t>
  </si>
  <si>
    <t>TCNotification4</t>
  </si>
  <si>
    <t>Các thông báo được lưu và hiển thị riêng biệt, thông báo mới không ghi đè các thông báo trước đó.</t>
  </si>
  <si>
    <t>TC-NOTIFICATION-005</t>
  </si>
  <si>
    <t>Kiểm tra thông báo được phân tách đúng giữa các tài khoản Patient, Patient này không xem được thông báo của Patient khác.</t>
  </si>
  <si>
    <t>1: Đăng nhập bằng tài khoản patient_an.
2: Mở trang Thông báo và ghi nhận danh sách thông báo đang hiển thị.
3: Đăng xuất patient_an, sau đó đăng nhập bằng tài khoản patient_thu.
4: Mở trang Thông báo và ghi nhận danh sách thông báo đang hiển thị.
5: So sánh nội dung thông báo của hai Patient, xác nhận danh sách thông báo được hiển thị riêng theo từng tài khoản và không giống hoàn toàn nhau.</t>
  </si>
  <si>
    <t>Patient A chỉ xem được thông báo liên quan đến lịch hẹn của Patient A và không xem được thông báo của Patient B.
Patient B chỉ xem được thông báo liên quan đến lịch hẹn của Patient B và không xem được thông báo của Patient A.
Nội dung thông báo của hai Patient được phân tách chính xác, không xảy ra hiển thị chéo dữ liệu giữa các tài khoản.</t>
  </si>
  <si>
    <t>TCNotification5_1, TCNotification5_2</t>
  </si>
  <si>
    <t>Đã đối chiếu trên 2 tài khoản Patient khác nhau. Danh sách notification hiển thị riêng biệt, không bị trộn lẫn giữa các tài khoản.</t>
  </si>
  <si>
    <t xml:space="preserve">4. Kiểm tra thông báo đơn thuốc
</t>
  </si>
  <si>
    <t>TC-NOTIFICATION-006</t>
  </si>
  <si>
    <t>Kiểm tra Patient nhận được thông báo đúng sau khi Doctor tạo và lưu đơn thuốc mới cho hồ sơ khám của Patient.</t>
  </si>
  <si>
    <t>1: Chuẩn bị Patient có lịch hẹn đã được xác nhận.
2: Doctor đăng nhập.
3: Doctor mở lịch hẹn của Patient.
4: Thực hiện khám bệnh.
5: Nhập/lưu thông tin khám cần thiết.
6: Mở chức năng kê đơn thuốc.
7: Tạo đơn thuốc hợp lệ cho Patient.
8: Đăng xuất Doctor và đăng nhập Patient.
9: Mở Thông báo và kiểm tra notification về đơn thuốc.</t>
  </si>
  <si>
    <t>Doctor tạo đơn thuốc cho Patient thành công.
Patient nhận được thông báo mới sau khi đơn thuốc được tạo.
Thông báo thuộc loại [Đơn thuốc].
Nội dung thông báo thể hiện đúng sự kiện đơn thuốc mới được tạo cho Patient.
Thời gian thông báo được ghi nhận và hiển thị.</t>
  </si>
  <si>
    <t>TCNotification6_1, TCNotification6_2, TCNotification6_3, TCNotification6_4</t>
  </si>
  <si>
    <t>Không phát sinh thông báo đơn thuốc cho Patient sau khi Doctor lưu đơn thuốc mới.</t>
  </si>
  <si>
    <t>TCNotificationRetest6_1, TCNotificationRetest6_2</t>
  </si>
  <si>
    <t xml:space="preserve">5. Kiểm tra thông báo kết quả xét nghiệm
</t>
  </si>
  <si>
    <t>TC-NOTIFICATION-007</t>
  </si>
  <si>
    <t>Kiểm tra Patient nhận được thông báo đúng sau khi Doctor thêm và lưu kết quả xét nghiệm vào hồ sơ bệnh án của Patient.</t>
  </si>
  <si>
    <t>1: Chuẩn bị Patient có hồ sơ bệnh án đã được Doctor tạo.
2: Đăng nhập bằng Doctor phụ trách hồ sơ bệnh án.
3: Mở Chi tiết hồ sơ bệnh án của Patient.
4: Chuyển đến phần Xét nghiệm.
5: Thêm kết quả xét nghiệm với thông tin hợp lệ.
6: Lưu kết quả xét nghiệm.
7: Đăng xuất Doctor và đăng nhập lại bằng Patient.
8: Mở trang Thông báo.
9: Tìm thông báo mới phát sinh liên quan đến kết quả xét nghiệm vừa được lưu.</t>
  </si>
  <si>
    <t>Kết quả xét nghiệm được lưu thành công.
Patient nhận được một thông báo mới sau khi kết quả xét nghiệm được cập nhật.
Thông báo thuộc loại [Kết quả xét nghiệm].
Nội dung thông báo thể hiện đúng sự kiện kết quả xét nghiệm của Patient đã được cập nhật.
Thời gian thông báo được ghi nhận và hiển thị.</t>
  </si>
  <si>
    <t>TCNotification7_1, TCNotification7_2</t>
  </si>
  <si>
    <t>Không phát sinh thông báo kết quả xét nghiệm cho Patient sau khi Doctor thêm kết quả xét nghiệm.</t>
  </si>
  <si>
    <t>TCNotificationRetest7_1, TCNotificationRetest7_2</t>
  </si>
  <si>
    <t>6. Kiểm tra thông báo khi dữ liệu khám bệnh được thay đổi</t>
  </si>
  <si>
    <t>TC-NOTIFICATION-008</t>
  </si>
  <si>
    <t>Kiểm tra Patient nhận được thông báo mới khi Doctor kê thêm một đơn thuốc mới cho Patient đã có đơn thuốc trước đó.</t>
  </si>
  <si>
    <t>1: Chuẩn bị Patient đã có một đơn thuốc cũ.
2: Ghi nhận notification của đơn thuốc cũ.
3: Doctor đăng nhập.
4: Mở hồ sơ bệnh án → tab Đơn thuốc.
5: Kê thêm một đơn thuốc mới với thuốc/số lượng/liều dùng khác.
6: Lưu đơn thuốc mới.
7: Đăng xuất Doctor → đăng nhập Patient.
8: Mở Thông báo.
9: Tìm và kiểm tra thông báo mới phát sinh từ đơn thuốc vừa được lưu.</t>
  </si>
  <si>
    <t>Đơn thuốc mới được lưu thành công. Patient nhận được một thông báo mới thuộc loại [Đơn thuốc]. Nội dung thông báo tương ứng với đơn thuốc mới vừa được tạo. Thông báo mới không bị nhầm hoặc ghi đè bởi thông báo của đơn thuốc trước đó. Thời gian thông báo được ghi nhận và hiển thị.</t>
  </si>
  <si>
    <t>TCNotification8_1, TCNotification8_2, TCNotification8_3</t>
  </si>
  <si>
    <t>Phát sinh đúng thông báo [Đơn thuốc] mới sau khi Doctor kê thêm đơn thuốc mới; thông báo cũ và mới được hiển thị riêng biệt.</t>
  </si>
  <si>
    <t>TC-NOTIFICATION-009</t>
  </si>
  <si>
    <t>Kiểm tra Patient nhận được thông báo mới sau khi Doctor chỉnh sửa Chẩn đoán và Hướng điều trị của một hồ sơ bệnh án đã tồn tại.</t>
  </si>
  <si>
    <t>1: Chuẩn bị Patient đã có hồ sơ khám với Chẩn đoán và Hướng điều trị được lưu trước đó.
2: Đăng nhập Doctor phụ trách.
3: Mở hồ sơ khám của Patient.
4: Chỉnh sửa Chẩn đoán và/hoặc Hướng điều trị.
5: Lưu thông tin đã cập nhật.
6: Đăng xuất Doctor và đăng nhập Patient.
7: Mở trang Thông báo.
8: Tìm và kiểm tra thông báo mới phát sinh sau khi Doctor cập nhật hồ sơ khám.</t>
  </si>
  <si>
    <t>Thông tin Chẩn đoán/Hướng điều trị được cập nhật thành công.
Patient nhận được một thông báo mới sau khi Doctor cập nhật hồ sơ khám.
Nội dung thông báo thể hiện đúng sự kiện hồ sơ/kết quả khám của Patient vừa được cập nhật.
Thông báo mới không bị nhầm với thông báo đã phát sinh khi lưu kết quả khám trước đó.
Thời gian thông báo được ghi nhận và hiển thị.</t>
  </si>
  <si>
    <t xml:space="preserve">TCNotification9_1, TCNotification9_2, TCNotification9_3, </t>
  </si>
  <si>
    <t xml:space="preserve"> </t>
  </si>
  <si>
    <t>Không phát sinh thông báo mới cho Patient sau khi Doctor cập nhật Chẩn đoán và Hướng điều trị của hồ sơ bệnh án.</t>
  </si>
  <si>
    <t>DOCTOR - Doctor Management</t>
  </si>
  <si>
    <t>Doctor Information</t>
  </si>
  <si>
    <t>Kiểm tra chức năng Bác sĩ khi Patient đã đăng nhập</t>
  </si>
  <si>
    <t>TC-DOCTOR-001</t>
  </si>
  <si>
    <t>Kiểm tra danh sách bác sĩ và thông tin bác sĩ được hiển thị đầy đủ khi mở trang</t>
  </si>
  <si>
    <t>1: Mở trang bác sĩ.
2: Quan sát tiêu đề và số lượng bác sĩ hiển thị.
3: Quan sát các card bác sĩ trong danh sách.
4: Kiểm tra thông tin trên từng card gồm hình ảnh, tên bác sĩ, chuyên khoa, kinh nghiệm và nút Đặt lịch hẹn.</t>
  </si>
  <si>
    <t>Trang Bác sĩ được mở thành công. Hiển thị tiêu đề Danh sách bác sĩ. Số lượng hiển thị khớp với số card bác sĩ thực tế. Danh sách hiện đầy đủ 4 bác sĩ. Mỗi card hiển thị đầy đủ hình ảnh, tên, chuyên khoa, kinh nghiệm và nút Đặt lịch hẹn. Không có card bị thiếu hoặc trùng dữ liệu.</t>
  </si>
  <si>
    <t>TCDoctor1</t>
  </si>
  <si>
    <t>Hiển thị đúng 4 bác sĩ và đầy đủ thông tin trên từng card.</t>
  </si>
  <si>
    <t>TC-DOCTOR-002</t>
  </si>
  <si>
    <t>Kiểm tra tìm kiếm bác sĩ với từ khóa hợp lệ</t>
  </si>
  <si>
    <t>1: Mở trang bác sĩ.
2: Nhập Tran Binh vào ô tìm kiếm.
3: Nhấn Tìm kiếm.
4: Quan sát kết quả.</t>
  </si>
  <si>
    <t>Hệ thống trả về bác sĩ Tran Binh. Không hiển thị các bác sĩ không phù hợp với từ khóa. Số lượng bác sĩ hiển thị được cập nhật tương ứng với kết quả tìm kiếm. Card kết quả vẫn hiển thị đầy đủ thông tin và nút Đặt lịch hẹn.</t>
  </si>
  <si>
    <t>TCDoctor2</t>
  </si>
  <si>
    <t>Hệ thống thực hiện tìm kiếm đúng.</t>
  </si>
  <si>
    <t>TC-DOCTOR-003</t>
  </si>
  <si>
    <t>Kiểm tra tìm kiếm bác sĩ với từ khóa không tồn tại</t>
  </si>
  <si>
    <t>1: Mở trang bác sĩ.
2: Nhập một tên bác sĩ không tồn tại, ví dụ Nguyen Van A.
3: Nhấn Tìm kiếm.
4: Quan sát kết quả.</t>
  </si>
  <si>
    <t>Hệ thống không hiển thị card bác sĩ không phù hợp. Số lượng kết quả hiển thị bằng 0 hoặc hệ thống thể hiện trạng thái không có kết quả theo thiết kế. Trang không phát sinh lỗi và các thành phần giao diện vẫn hoạt động bình thường.</t>
  </si>
  <si>
    <t>TCDoctor3</t>
  </si>
  <si>
    <t>TC-DOCTOR-004</t>
  </si>
  <si>
    <t>Kiểm tra nút Đặt lịch hẹn điều hướng đúng đến bác sĩ được chọn</t>
  </si>
  <si>
    <t>1: Mở trang bác sĩ.
2: Chọn một bác sĩ, ví dụ Tran Binh.
3: Nhấn Đặt lịch hẹn trên đúng card của bác sĩ đó.
4: Quan sát trang được điều hướng đến.
5: Kiểm tra thông tin bác sĩ trên trang đặt lịch.</t>
  </si>
  <si>
    <t>Hệ thống điều hướng sang trang Đặt lịch hẹn khám của đúng bác sĩ đã chọn. Thông tin bác sĩ trên trang đặt lịch tương ứng với Tran Binh. Không điều hướng sang bác sĩ khác và không phát sinh lỗi.</t>
  </si>
  <si>
    <t>TCDoctor4_1, TCDoctor4_2</t>
  </si>
  <si>
    <t>Hệ thống thực hiện chuyển hướng đúng.</t>
  </si>
  <si>
    <t>SPECIALTY - Specialty Management</t>
  </si>
  <si>
    <t>Specialty Information</t>
  </si>
  <si>
    <t>TC-SPECIALTY-001</t>
  </si>
  <si>
    <t>Kiểm tra danh sách chuyên khoa và thông tin chuyên khoa được hiển thị đầy đủ khi mở trang</t>
  </si>
  <si>
    <t>1: Patient mở trang Chuyên khoa.
2: Quan sát tiêu đề và số lượng chuyên khoa hiển thị.
3: Quan sát các card chuyên khoa trong danh sách.
4: Kiểm tra thông tin trên từng card gồm hình ảnh, tên chuyên khoa, mô tả, nút Xem bác sĩ thuộc khoa và Xem chi tiết khoa.</t>
  </si>
  <si>
    <t>Trang Chuyên khoa được mở thành công. Hiển thị tiêu đề Danh mục chuyên khoa. Số lượng hiển thị khớp với số card chuyên khoa thực tế. Danh sách hiển thị đầy đủ 8 chuyên khoa. Mỗi card có đầy đủ hình ảnh, tên, mô tả và các nút chức năng tương ứng.</t>
  </si>
  <si>
    <t>TCSpecialty1</t>
  </si>
  <si>
    <t>Hiển thị đầy đủ danh sách và thông tin chuyên khoa theo thiết kế.</t>
  </si>
  <si>
    <t>TC-SPECIALTY-002</t>
  </si>
  <si>
    <t>Kiểm tra tìm kiếm chuyên khoa với từ khóa hợp lệ</t>
  </si>
  <si>
    <t>1: Patient mở trang Chuyên khoa.
2: Nhập tên một chuyên khoa tồn tại, ví dụ Mat.
3: Nhấn Tìm kiếm.
4: Quan sát kết quả và số lượng hiển thị.</t>
  </si>
  <si>
    <t>Hệ thống hiển thị các chuyên khoa có tên chứa từ khóa tìm kiếm. Không hiển thị chuyên khoa không phù hợp. Số lượng hiển thị được cập nhật tương ứng với số kết quả tìm được. Các card kết quả hiển thị đầy đủ thông tin và chức năng.</t>
  </si>
  <si>
    <t>TCSpecialty2</t>
  </si>
  <si>
    <t>Tìm kiếm theo từ khóa hoạt động đúng, kết quả và số lượng hiển thị phù hợp.</t>
  </si>
  <si>
    <t>TC-SPECIALTY-003</t>
  </si>
  <si>
    <t>Kiểm tra tìm kiếm chuyên khoa với từ khóa không tồn tại</t>
  </si>
  <si>
    <t>1: Patient mở trang Chuyên khoa.
2: Nhập tên một chuyên khoa không tồn tại, ví dụ Noi than kinh.
3: Nhấn Tìm kiếm.
4: Quan sát kết quả và số lượng hiển thị.</t>
  </si>
  <si>
    <t>Hệ thống không hiển thị card chuyên khoa không phù hợp. Số lượng chuyên khoa hiển thị bằng 0 và hiển thị trạng thái/thông báo không có kết quả theo giao diện thực tế. Trang không phát sinh lỗi.</t>
  </si>
  <si>
    <t>TCSpecialty3</t>
  </si>
  <si>
    <t>Hiển thị đúng trạng thái khi không có kết quả tìm kiếm.</t>
  </si>
  <si>
    <t>TC-SPECIALTY-004</t>
  </si>
  <si>
    <t>Kiểm tra nút Xem bác sĩ thuộc khoa hiển thị đúng bác sĩ của chuyên khoa được chọn</t>
  </si>
  <si>
    <t>1: Patient mở trang Chuyên khoa.
2: Chọn chuyên khoa mắt.
3: Nhấn Xem bác sĩ thuộc khoa.
4: Quan sát trang/kết quả được hiển thị.
5: Kiểm tra bác sĩ hiển thị có thuộc chuyên khoa Mắt.</t>
  </si>
  <si>
    <t>Hệ thống điều hướng hoặc hiển thị danh sách bác sĩ thuộc đúng chuyên khoa Mắt. Không hiển thị bác sĩ thuộc chuyên khoa khác và không phát sinh lỗi.</t>
  </si>
  <si>
    <t>TCSpecialty4</t>
  </si>
  <si>
    <t>Hiển thị đúng danh sách bác sĩ theo chuyên khoa được chọn.</t>
  </si>
  <si>
    <t>TC-SPECIALTY-005</t>
  </si>
  <si>
    <t>Kiểm tra nút Xem chi tiết khoa hiển thị đúng thông tin chuyên khoa được chọn</t>
  </si>
  <si>
    <t>1: Patient mở trang Chuyên khoa.
2: Chọn chuyên khoa mắt.
3: Nhấn Xem chi tiết khoa.
4: Quan sát trang/kết quả được hiển thị.
5: Kiểm tra tên chuyên khoa, thông tin giới thiệu, số lượng bác sĩ và đội ngũ bác sĩ trực thuộc hiển thị đúng với chuyên khoa Mắt.</t>
  </si>
  <si>
    <t>Hệ thống hiển thị hoặc điều hướng đến phần chi tiết của đúng chuyên khoa Mắt. Tên chuyên khoa và nội dung chi tiết tương ứng với chuyên khoa đã chọn. Không hiển thị nhầm chuyên khoa và không phát sinh lỗi.</t>
  </si>
  <si>
    <t>TCSpecialty5</t>
  </si>
  <si>
    <t>Hiển thị đúng và đầy đủ thông tin chi tiết của chuyên khoa được chọn.</t>
  </si>
  <si>
    <t>DRUG - Drug Inventory Management</t>
  </si>
  <si>
    <t>Drug Inventory Management</t>
  </si>
  <si>
    <t>1. Kiểm tra hiển thị danh mục thuốc</t>
  </si>
  <si>
    <t>TC-DRUG-CATEGORY-001</t>
  </si>
  <si>
    <t>Kiểm tra các danh mục thuốc được hiển thị đầy đủ trên trang Quản lý kho dược phẩm.</t>
  </si>
  <si>
    <t>1: Đăng nhập hệ thống bằng tài khoản Admin hợp lệ.
2: Mở menu Quản lý Kho thuốc.
3: Truy cập trang Quản lý kho dược phẩm.
4: Xác định khu vực hiển thị các nút danh mục thuốc.
5: Kiểm tra nút Tất cả được hiển thị.
6: Kiểm tra các danh mục thuốc trong hệ thống được hiển thị thành các nút lựa chọn.
7: Kiểm tra tên các danh mục hiển thị không rỗng và không bị trùng lặp.</t>
  </si>
  <si>
    <t>Trang Quản lý kho dược phẩm được mở thành công.
Nút Tất cả được hiển thị.
Các danh mục thuốc được hiển thị đầy đủ dưới dạng các nút lọc.
Tên danh mục không rỗng.
Không xuất hiện hai nút danh mục có cùng tên.</t>
  </si>
  <si>
    <t>TCDrugCategory1</t>
  </si>
  <si>
    <t>Giao diện hệ thống thể hiện đúng.</t>
  </si>
  <si>
    <t>2. Kiểm tra lọc dữ liệu</t>
  </si>
  <si>
    <t>TC-DRUG-CATEGORY-002</t>
  </si>
  <si>
    <t>Kiểm tra hệ thống chỉ hiển thị các thuốc thuộc danh mục được Admin lựa chọn.</t>
  </si>
  <si>
    <t>1: Đăng nhập hệ thống bằng tài khoản Admin hợp lệ.
2: Mở trang Quản lý kho dược phẩm.
3: Chọn danh mục Thuốc răng hàm mặt.
4: Chờ danh sách thuốc được cập nhật.
5: Lấy tất cả các dòng thuốc đang hiển thị trong bảng.
6: Đọc giá trị cột Danh mục của từng thuốc.
7: So sánh danh mục thực tế của từng thuốc với danh mục Thuốc răng hàm mặt đã chọn.</t>
  </si>
  <si>
    <t>Danh mục Thuốc răng hàm mặt được chọn thành công.
Danh sách thuốc được cập nhật.
Tất cả thuốc đang hiển thị đều có cột Danh mục = Thuốc răng hàm mặt.
Không có thuốc thuộc danh mục khác xuất hiện trong kết quả.</t>
  </si>
  <si>
    <t>TCDrugCategory2</t>
  </si>
  <si>
    <t>Hệ thống thực hiện lọc đúng.</t>
  </si>
  <si>
    <t>3. Kiểm tra chức năng cập nhật thuốc</t>
  </si>
  <si>
    <t>TC-DRUG-CATEGORY-003</t>
  </si>
  <si>
    <t>Kiểm tra Admin có thể cập nhật thông tin của một thuốc đang tồn tại trong hệ thống.</t>
  </si>
  <si>
    <t>1: Đăng nhập hệ thống bằng tài khoản Admin hợp lệ.
2: Truy cập trang Quản lý kho dược phẩm.
3: Tìm thuốc Franrogyl trong danh sách.
4: Nhấn nút Sửa của thuốc Franrogyl.
5: Kiểm tra hệ thống mở trang Cập nhật thuốc và hiển thị thông tin hiện tại của Franrogyl.
6: Thay đổi trường Giá từ 10000 thành 12000.
7: Nhấn nút Cập nhật/Lưu.
8: Chờ hệ thống xử lý và quay lại danh sách thuốc.
9: Tìm lại thuốc Franrogyl.
10: Kiểm tra giá của Franrogyl đã được cập nhật thành 12.000đ.</t>
  </si>
  <si>
    <t>Trang cập nhật hiển thị đúng thông tin hiện tại của thuốc Franrogyl.
Hệ thống cho phép thay đổi giá thuốc và lưu thành công.
Sau khi cập nhật, Franrogyl hiển thị giá mới là 12.000đ trong danh sách thuốc.</t>
  </si>
  <si>
    <t>TCDrugCategory3_1, TCDrugCategory3_2</t>
  </si>
  <si>
    <t>Hệ thống thực hiện cập nhật đúng.</t>
  </si>
  <si>
    <t>4. Kiểm tra chức năng tìm kiếm</t>
  </si>
  <si>
    <t>TC-DRUG-CATEGORY-004</t>
  </si>
  <si>
    <t>Kiểm tra hệ thống tìm kiếm và hiển thị đúng thuốc theo tên được Admin nhập.</t>
  </si>
  <si>
    <t>1: Đăng nhập bằng tài khoản Admin hợp lệ.
2: Mở trang Quản lý kho dược phẩm.
3: Chọn Tất cả.
4: Nhập Franrogyl vào ô tìm kiếm.
5: Nhấn Tìm kiếm.
6: Chờ hệ thống trả về kết quả.
7: Kiểm tra tên thuốc trong danh sách kết quả.</t>
  </si>
  <si>
    <t>Hệ thống tìm thấy thuốc Franrogyl.
Kết quả hiển thị thuốc có tên phù hợp với từ khóa tìm kiếm.
Không xuất hiện thuốc không phù hợp với từ khóa.</t>
  </si>
  <si>
    <t>TCDrugCategory4</t>
  </si>
  <si>
    <t>TC-DRUG-CATEGORY-005</t>
  </si>
  <si>
    <t>Kiểm tra hệ thống xử lý đúng khi Admin tìm một thuốc không thuộc danh mục đang được chọn.</t>
  </si>
  <si>
    <t>1: Đăng nhập bằng tài khoản Admin hợp lệ.
2: Mở trang Quản lý kho dược phẩm.
3: Chọn danh mục Thuốc tiêu hóa.
4: Chờ danh sách được cập nhật.
5: Nhập Franrogyl vào ô tìm kiếm.
6: Nhấn Tìm kiếm.
7: Chờ hệ thống trả về kết quả.
8: Kiểm tra danh sách thuốc sau khi tìm kiếm.</t>
  </si>
  <si>
    <t>Hệ thống không hiển thị Franrogyl nếu thuốc không thuộc danh mục Thuốc tiêu hóa.
Không xuất hiện thuốc sai điều kiện danh mục.
Trang không phát sinh lỗi hoặc bị treo khi không có kết quả phù hợp.</t>
  </si>
  <si>
    <t>TCDrugCategory5</t>
  </si>
  <si>
    <t>TC-DRUG-CATEGORY-006</t>
  </si>
  <si>
    <t>Kiểm tra hệ thống xử lý đúng khi Admin tìm một thuốc thuộc danh mục đang được chọn.</t>
  </si>
  <si>
    <t>1: Đăng nhập bằng tài khoản Admin hợp lệ.
2: Mở trang Quản lý kho dược phẩm.
3: Chọn danh mục Thuốc răng hàm mặt.
4: Chờ danh sách được cập nhật.
5: Nhập Franrogyl vào ô tìm kiếm.
6: Nhấn Tìm kiếm.
7: Chờ hệ thống trả về kết quả.
8: Kiểm tra danh sách thuốc sau khi tìm kiếm.</t>
  </si>
  <si>
    <t>Hệ thống hiển thị Franrogyl nếu thuốc thuộc danh mục Thuốc răng hàm mặt.
Không xuất hiện thuốc sai điều kiện danh mục.
Trang không phát sinh lỗi trong quá trình lọc và tìm kiếm.</t>
  </si>
  <si>
    <t>TCDrugCategory6</t>
  </si>
  <si>
    <t>5. Kiểm tra thêm thuốc</t>
  </si>
  <si>
    <t>TC-DRUG-CATEGORY-007</t>
  </si>
  <si>
    <t>Kiểm tra Admin có thể thêm mới thuốc khi nhập đầy đủ các thông tin hợp lệ.</t>
  </si>
  <si>
    <t>1: Đăng nhập hệ thống bằng tài khoản Admin hợp lệ.
2: Mở trang Quản lý kho dược phẩm.
3: Nhấn nút Thêm thuốc.
4: Chọn danh mục và nhập đầy đủ thông tin của thuốc.
5: Nhập Giá, Số lượng tồn và Số lượng tối thiểu hợp lệ.
6: Chọn Ngày sản xuất và Hạn sử dụng hợp lệ.
7: Nhấn nút Thêm thuốc.
8: Kiểm tra thông báo thêm thuốc thành công.
9: Tìm thuốc vừa thêm trong danh sách và kiểm tra thông tin hiển thị.</t>
  </si>
  <si>
    <t>Hệ thống chấp nhận dữ liệu hợp lệ và thêm thuốc thành công.
Hiển thị thông báo thêm thuốc thành công.
Thuốc mới xuất hiện trong danh sách với thông tin đúng như đã nhập.</t>
  </si>
  <si>
    <t>TCDrugCategory7_1, TCDrugCategory7_2</t>
  </si>
  <si>
    <t>Hệ thống thực hiện thêm thuốc thành công với dữ liệu hợp lệ.</t>
  </si>
  <si>
    <t>TC-DRUG-CATEGORY-008</t>
  </si>
  <si>
    <t>Kiểm tra hệ thống không cho phép Admin thêm thuốc khi bỏ trống trường thông tin bắt buộc.</t>
  </si>
  <si>
    <t>1: Đăng nhập hệ thống bằng tài khoản Admin hợp lệ.
2: Mở trang Quản lý kho dược phẩm.
3: Nhấn nút Thêm thuốc.
4: Để trống một trường bắt buộc, ví dụ Tên thuốc.
5: Nhập đầy đủ và hợp lệ các trường bắt buộc còn lại.
6: Nhấn nút Thêm thuốc.
7: Kiểm tra hệ thống xác định và đưa focus về trường Tên thuốc bị bỏ trống.
8: Kiểm tra thuốc không được tạo mới trong danh sách.</t>
  </si>
  <si>
    <t>Hệ thống không cho phép thêm thuốc khi thiếu thông tin bắt buộc.
Hệ thống xác định trường Tên thuốc chưa được nhập và đưa focus về trường này.
Thuốc không được tạo mới trong hệ thống.</t>
  </si>
  <si>
    <t>TCDrugCategory8_1, TCDrugCategory8_2</t>
  </si>
  <si>
    <t>Hệ thống thực hiện đúng nghiệp vụ, không thêm thuốc khi chưa nhập đủ các trường bắt buộc.</t>
  </si>
  <si>
    <t>TC-DRUG-CATEGORY-009</t>
  </si>
  <si>
    <t>Kiểm tra hệ thống không cho phép Admin thêm thuốc khi các trường dữ liệu số gồm Giá, Số lượng tồn kho hoặc Số lượng tối thiểu có giá trị âm.</t>
  </si>
  <si>
    <t>1: Đăng nhập hệ thống bằng tài khoản Admin hợp lệ.
2: Mở trang Quản lý kho dược phẩm và chọn + Thêm thuốc.
3: Nhập đầy đủ các thông tin hợp lệ cho thuốc.
4: Nhập giá trị âm -12000 vào trường Giá và nhấn Thêm thuốc.
5: Kiểm tra hệ thống không cho phép gửi form và hiển thị cảnh báo tại trường Giá.
6: Sửa Giá về giá trị hợp lệ, sau đó nhập -107 vào Số lượng tồn kho và nhấn Thêm thuốc.
7: Kiểm tra hệ thống tiếp tục chặn và cảnh báo tại trường Số lượng tồn kho.
8: Sửa Số lượng tồn kho về giá trị hợp lệ, nhập -20 vào Số lượng tối thiểu và nhấn Thêm thuốc.
9: Kiểm tra hệ thống chặn thao tác và cảnh báo tại trường Số lượng tối thiểu.
10: Kiểm tra thuốc không được thêm mới khi tồn tại bất kỳ giá trị âm nào.</t>
  </si>
  <si>
    <t>Hệ thống không cho phép thêm thuốc khi Giá, Số lượng tồn kho hoặc Số lượng tối thiểu có giá trị nhỏ hơn 0.</t>
  </si>
  <si>
    <t>TCDrugCategory9_1, TCDrugCategory9_2, TCDrugCategory9_3</t>
  </si>
  <si>
    <t>Hệ thống thực hiện đúng nghiệp vụ, không thêm thuốc khi các trường số liệu nhập giá trị âm.</t>
  </si>
  <si>
    <t>TC-DRUG-CATEGORY-010</t>
  </si>
  <si>
    <t>Kiểm tra hệ thống không cho phép Admin thêm thuốc khi hạn sử dụng trước ngày sản xuất.</t>
  </si>
  <si>
    <t>1: Đăng nhập hệ thống bằng tài khoản Admin hợp lệ.
2: Mở trang Quản lý kho dược phẩm.
3: Nhấn nút Thêm thuốc.
4: Nhập đầy đủ các thông tin hợp lệ của thuốc.
5: Chọn Ngày sản xuất là 20/08/2025.
6: Chọn Hạn sử dụng là 19/08/2025.
7: Nhấn nút Thêm thuốc.
8: Kiểm tra thông báo validation về ngày.
9: Kiểm tra thuốc không được tạo mới trong danh sách.</t>
  </si>
  <si>
    <t>Hệ thống xác định hạn sử dụng trước ngày sản xuất là không hợp lệ.
Hệ thống không cho phép thêm thuốc và hiển thị thông báo validation phù hợp.
Thuốc không được tạo mới trong hệ thống.</t>
  </si>
  <si>
    <t>TCDrugCategory10_1, TCDrugCategory10_2</t>
  </si>
  <si>
    <t>Hệ thống vẫn cho phép thêm thuốc khi Hạn sử dụng nhỏ hơn Ngày sản xuất. Chưa có validation kiểm tra mối quan hệ giữa Ngày sản xuất và Hạn sử dụng.</t>
  </si>
  <si>
    <t>6. Kiểm tra chức năng xóa thuốc</t>
  </si>
  <si>
    <t>TC-DRUG-CATEGORY-011</t>
  </si>
  <si>
    <t>Kiểm tra Admin có thể xóa một thuốc đang tồn tại khỏi danh sách Quản lý kho dược phẩm.</t>
  </si>
  <si>
    <t>1: Đăng nhập hệ thống bằng tài khoản Admin hợp lệ.
2: Mở trang Quản lý kho dược phẩm.
3: Xác định thuốc cần xóa trong danh sách.
4: Ghi nhận tên thuốc trước khi thực hiện xóa.
5: Nhấn nút Xóa tại dòng của thuốc đó.
6: Nếu hệ thống hiển thị hộp thoại xác nhận, chọn Xác nhận/OK.
7: Chờ hệ thống xử lý và cập nhật lại danh sách thuốc.
8: Kiểm tra thuốc vừa xóa không còn xuất hiện trong danh sách.</t>
  </si>
  <si>
    <t>Hệ thống thực hiện xóa đúng thuốc được Admin lựa chọn.
Sau khi xóa thành công, thuốc không còn xuất hiện trong danh sách Quản lý kho dược phẩm.
Các thuốc khác trong danh sách không bị ảnh hưởng.
Hệ thống không phát sinh lỗi trong quá trình xóa.</t>
  </si>
  <si>
    <t>TCDrugCategory11_1, TCDrugCategory11_2</t>
  </si>
  <si>
    <t>Hiển thị xác nhận xóa; sau khi chọn OK, thuốc được xóa thành công và không còn xuất hiện trong danh sách.</t>
  </si>
  <si>
    <t>STAT - Statistics and Reporting</t>
  </si>
  <si>
    <t>Statistics and Reporting</t>
  </si>
  <si>
    <t>1. Kiểm tra thống kê thuốc</t>
  </si>
  <si>
    <t>TC-STAT-001</t>
  </si>
  <si>
    <t>Kiểm tra hệ thống hiển thị đúng thống kê số lượng thuốc theo từng danh mục dưới dạng biểu đồ và bảng dữ liệu.</t>
  </si>
  <si>
    <t>1: Đăng nhập hệ thống bằng tài khoản Admin hợp lệ.
2: Mở menu Quản lý Kho thuốc.
3: Truy cập trang Thống kê thuốc.
4: Kiểm tra biểu đồ Thuốc theo danh mục được hiển thị.
5: Kiểm tra bảng thống kê danh mục thuốc được hiển thị bên dưới biểu đồ.
6: Ghi nhận số lượng của một số danh mục trong bảng.
7: Đối chiếu số lượng trong bảng với giá trị tương ứng trên biểu đồ.
8: Kiểm tra các danh mục hiển thị trong bảng có dữ liệu số lượng tương ứng và không xuất hiện lỗi hiển thị.</t>
  </si>
  <si>
    <t>Trang Thống kê thuốc được mở thành công.
Biểu đồ và bảng thống kê số lượng thuốc theo danh mục được hiển thị đầy đủ.
Số liệu giữa biểu đồ và bảng tương ứng với nhau.
Không phát sinh lỗi trong quá trình hiển thị dữ liệu.</t>
  </si>
  <si>
    <t>TCStat1</t>
  </si>
  <si>
    <t>Biểu đồ và bảng thống kê thuốc hiển thị đầy đủ, số liệu tương ứng.</t>
  </si>
  <si>
    <t>2. Kiểm tra thống kê và báo cáo</t>
  </si>
  <si>
    <t>TC-STAT-002</t>
  </si>
  <si>
    <t>Kiểm tra hệ thống hiển thị đúng thống kê bệnh nhân theo giới tính, nhóm tuổi và chuyên khoa; số liệu trên biểu đồ tương ứng với bảng chi tiết.</t>
  </si>
  <si>
    <t>1: Đăng nhập hệ thống bằng tài khoản Admin hợp lệ.
2: Mở trang Thống kê và báo cáo.
3: Xác định khu vực Bệnh nhân theo giới tính.
4: Kiểm tra biểu đồ và bảng số lượng bệnh nhân theo giới tính.
5: Đối chiếu số liệu giữa biểu đồ và bảng.
6: Kiểm tra tương tự khu vực Bệnh nhân theo nhóm tuổi.
7: Đối chiếu số liệu nhóm tuổi giữa biểu đồ và bảng.
8: Di chuyển đến khu vực Bệnh nhân theo chuyên khoa.
9: Kiểm tra biểu đồ, bảng và đối chiếu số liệu tương ứng.
10: Kiểm tra các khu vực thống kê hiển thị bình thường, không phát sinh lỗi.</t>
  </si>
  <si>
    <t>Các thống kê bệnh nhân theo giới tính, nhóm tuổi và chuyên khoa được hiển thị thành công.
Biểu đồ và bảng dữ liệu của từng nhóm thống kê có số liệu tương ứng.
Các nhóm dữ liệu được hiển thị đúng tên và số lượng.
Trang không phát sinh lỗi hoặc mất dữ liệu trong quá trình hiển thị.</t>
  </si>
  <si>
    <t>TCStat2_1, TCStat2_2</t>
  </si>
  <si>
    <t>Các thống kê theo giới tính, nhóm tuổi và chuyên khoa hiển thị đúng; số liệu biểu đồ khớp bảng.</t>
  </si>
  <si>
    <t>TC-STAT-003</t>
  </si>
  <si>
    <t>Kiểm tra hệ thống hiển thị đúng doanh thu đã thanh toán theo các tháng của năm được Admin lựa chọn.</t>
  </si>
  <si>
    <t>1: Đăng nhập hệ thống bằng tài khoản Admin hợp lệ.
2: Mở trang Thống kê và báo cáo.
3: Di chuyển đến khu vực Doanh thu theo tháng.
4: Nhập năm 2026 vào trường lựa chọn năm.
5: Nhấn nút Xem doanh thu.
6: Chờ hệ thống tải dữ liệu doanh thu.
7: Kiểm tra biểu đồ doanh thu theo tháng được hiển thị.
8: Kiểm tra bảng doanh thu bên dưới biểu đồ.
9: Đối chiếu tháng và mức doanh thu thể hiện trên biểu đồ với dữ liệu trong bảng.
10: Kiểm tra giá trị doanh thu được hiển thị đúng định dạng tiền tệ.</t>
  </si>
  <si>
    <t>Hệ thống chấp nhận năm hợp lệ và tải dữ liệu doanh thu tương ứng.
Biểu đồ và bảng doanh thu theo tháng được hiển thị.
Tháng và mức doanh thu trên biểu đồ phù hợp với dữ liệu trong bảng.
Doanh thu được hiển thị đúng định dạng tiền tệ.
Không phát sinh lỗi khi xem doanh thu.</t>
  </si>
  <si>
    <t>TCStat3</t>
  </si>
  <si>
    <t>Doanh thu năm 2026 hiển thị đúng; Tháng 4 có doanh thu 900.000 VNĐ.</t>
  </si>
  <si>
    <t>TC-STAT-004</t>
  </si>
  <si>
    <t>Kiểm tra hệ thống hiển thị danh sách các chẩn đoán và số lượng bệnh nhân tương ứng tại khu vực Bệnh phổ biến trong cộng đồng.</t>
  </si>
  <si>
    <t>1: Đăng nhập hệ thống bằng tài khoản Admin hợp lệ.
2: Mở trang Thống kê và báo cáo.
3: Di chuyển đến khu vực Bệnh phổ biến trong cộng đồng.
4: Kiểm tra bảng thống kê được hiển thị.
5: Kiểm tra cột Chẩn đoán được hiển thị.
6: Kiểm tra cột Số lượng bệnh nhân được hiển thị.
7: Kiểm tra các dòng dữ liệu có tên chẩn đoán và số lượng tương ứng.
8: Cuộn trong bảng nếu danh sách có nhiều dữ liệu.
9: Kiểm tra hệ thống vẫn hiển thị dữ liệu ổn định khi cuộn danh sách.</t>
  </si>
  <si>
    <t>Bảng Bệnh phổ biến trong cộng đồng được hiển thị thành công.
Các cột Chẩn đoán và Số lượng bệnh nhân được hiển thị đầy đủ.
Mỗi dòng có dữ liệu chẩn đoán và số lượng bệnh nhân tương ứng.
Danh sách có thể cuộn và không phát sinh lỗi hiển thị.</t>
  </si>
  <si>
    <t>TCStat4</t>
  </si>
  <si>
    <t>Bảng bệnh phổ biến hiển thị đúng chẩn đoán và số lượng bệnh nhân, có thể cuộn danh sách.</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</si>
</sst>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409]d\-mmm\-yy"/>
    <numFmt numFmtId="165" formatCode="d-m"/>
  </numFmts>
  <fonts count="28">
    <font>
      <sz val="11.0"/>
      <color rgb="FF000000"/>
      <name val="MS PGothic"/>
      <scheme val="minor"/>
    </font>
    <font>
      <sz val="11.0"/>
      <color theme="1"/>
      <name val="Tahoma"/>
    </font>
    <font>
      <b/>
      <sz val="18.0"/>
      <color theme="1"/>
      <name val="Tahoma"/>
    </font>
    <font>
      <b/>
      <sz val="10.0"/>
      <color theme="1"/>
      <name val="Tahoma"/>
    </font>
    <font>
      <b/>
      <sz val="13.0"/>
      <color theme="1"/>
      <name val="Tahoma"/>
    </font>
    <font>
      <sz val="10.0"/>
      <color theme="1"/>
      <name val="Tahoma"/>
    </font>
    <font>
      <b/>
      <sz val="11.0"/>
      <color theme="1"/>
      <name val="Tahoma"/>
    </font>
    <font>
      <b/>
      <sz val="10.0"/>
      <color rgb="FF993300"/>
      <name val="Tahoma"/>
    </font>
    <font>
      <sz val="11.0"/>
      <color theme="1"/>
      <name val="Arial"/>
    </font>
    <font>
      <b/>
      <sz val="13.0"/>
      <color rgb="FFFFFFFF"/>
      <name val="Tahoma"/>
    </font>
    <font>
      <b/>
      <sz val="10.0"/>
      <color rgb="FFFFFFFF"/>
      <name val="Tahoma"/>
    </font>
    <font/>
    <font>
      <sz val="13.0"/>
      <color theme="1"/>
      <name val="Tahoma"/>
    </font>
    <font>
      <sz val="12.0"/>
      <color theme="1"/>
      <name val="Tahoma"/>
    </font>
    <font>
      <sz val="11.0"/>
      <color theme="1"/>
      <name val="MS PGothic"/>
    </font>
    <font>
      <b/>
      <sz val="11.0"/>
      <color rgb="FFFFFFFF"/>
      <name val="Tahoma"/>
    </font>
    <font>
      <sz val="11.0"/>
      <color rgb="FF000000"/>
      <name val="Tahoma"/>
    </font>
    <font>
      <b/>
      <sz val="13.0"/>
      <color rgb="FFF3F3F3"/>
      <name val="Tahoma"/>
    </font>
    <font>
      <u/>
      <sz val="11.0"/>
      <color rgb="FF000000"/>
      <name val="Tahoma"/>
    </font>
    <font>
      <sz val="11.0"/>
      <color rgb="FFFF0000"/>
      <name val="Tahoma"/>
    </font>
    <font>
      <sz val="10.0"/>
      <color theme="1"/>
      <name val="MS PGothic"/>
    </font>
    <font>
      <sz val="10.0"/>
      <color rgb="FFFFFFFF"/>
      <name val="Tahoma"/>
    </font>
    <font>
      <b/>
      <sz val="10.0"/>
      <color rgb="FF0000FF"/>
      <name val="Tahoma"/>
    </font>
    <font>
      <sz val="10.0"/>
      <color rgb="FF000000"/>
      <name val="Tahoma"/>
    </font>
    <font>
      <u/>
      <sz val="11.0"/>
      <color theme="1"/>
      <name val="Arial"/>
    </font>
    <font>
      <color theme="1"/>
      <name val="Arial"/>
    </font>
    <font>
      <u/>
      <sz val="11.0"/>
      <color theme="1"/>
      <name val="Tahoma"/>
    </font>
    <font>
      <u/>
      <sz val="11.0"/>
      <color rgb="FF000000"/>
      <name val="Tahoma"/>
    </font>
  </fonts>
  <fills count="8">
    <fill>
      <patternFill patternType="none"/>
    </fill>
    <fill>
      <patternFill patternType="lightGray"/>
    </fill>
    <fill>
      <patternFill patternType="solid">
        <fgColor rgb="FFFFFFFF"/>
        <bgColor rgb="FFFFFFFF"/>
      </patternFill>
    </fill>
    <fill>
      <patternFill patternType="solid">
        <fgColor rgb="FF000080"/>
        <bgColor rgb="FF000080"/>
      </patternFill>
    </fill>
    <fill>
      <patternFill patternType="solid">
        <fgColor rgb="FF003366"/>
        <bgColor rgb="FF003366"/>
      </patternFill>
    </fill>
    <fill>
      <patternFill patternType="solid">
        <fgColor rgb="FF993366"/>
        <bgColor rgb="FF993366"/>
      </patternFill>
    </fill>
    <fill>
      <patternFill patternType="solid">
        <fgColor rgb="FFCCFFFF"/>
        <bgColor rgb="FFCCFFFF"/>
      </patternFill>
    </fill>
    <fill>
      <patternFill patternType="solid">
        <fgColor rgb="FFEFEFEF"/>
        <bgColor rgb="FFEFEFEF"/>
      </patternFill>
    </fill>
  </fills>
  <borders count="37">
    <border/>
    <border>
      <left/>
      <right/>
      <top/>
      <bottom/>
    </border>
    <border>
      <left style="medium">
        <color rgb="FF000000"/>
      </left>
    </border>
    <border>
      <left/>
      <right/>
      <top/>
    </border>
    <border>
      <right/>
      <top/>
      <bottom/>
    </border>
    <border>
      <left style="thin">
        <color rgb="FF000000"/>
      </left>
      <right style="hair">
        <color rgb="FF000000"/>
      </right>
      <top style="hair">
        <color rgb="FF000000"/>
      </top>
      <bottom style="hair">
        <color rgb="FF000000"/>
      </bottom>
    </border>
    <border>
      <left style="thin">
        <color rgb="FF000000"/>
      </left>
      <right style="hair">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style="hair">
        <color rgb="FF000000"/>
      </left>
      <right style="thin">
        <color rgb="FF000000"/>
      </right>
      <top style="thin">
        <color rgb="FF000000"/>
      </top>
      <bottom/>
    </border>
    <border>
      <left style="thin">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style="hair">
        <color rgb="FF000000"/>
      </left>
      <right style="thin">
        <color rgb="FF000000"/>
      </right>
      <top style="thin">
        <color rgb="FF000000"/>
      </top>
      <bottom style="hair">
        <color rgb="FF000000"/>
      </bottom>
    </border>
    <border>
      <left style="hair">
        <color rgb="FF000000"/>
      </left>
      <right style="hair">
        <color rgb="FF000000"/>
      </right>
      <top style="hair">
        <color rgb="FF000000"/>
      </top>
      <bottom style="hair">
        <color rgb="FF000000"/>
      </bottom>
    </border>
    <border>
      <bottom style="thin">
        <color rgb="FF000000"/>
      </bottom>
    </border>
    <border>
      <left style="hair">
        <color rgb="FF000000"/>
      </left>
      <top style="hair">
        <color rgb="FF000000"/>
      </top>
      <bottom style="hair">
        <color rgb="FF000000"/>
      </bottom>
    </border>
    <border>
      <left style="hair">
        <color rgb="FF000000"/>
      </left>
      <right style="thin">
        <color rgb="FF000000"/>
      </right>
      <top style="hair">
        <color rgb="FF000000"/>
      </top>
      <bottom style="hair">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hair">
        <color rgb="FF000000"/>
      </left>
      <right style="hair">
        <color rgb="FF000000"/>
      </right>
      <top style="hair">
        <color rgb="FF000000"/>
      </top>
    </border>
    <border>
      <left style="thin">
        <color rgb="FF000000"/>
      </left>
      <right style="hair">
        <color rgb="FF000000"/>
      </right>
      <top style="hair">
        <color rgb="FF000000"/>
      </top>
    </border>
    <border>
      <left style="thin">
        <color rgb="FF000000"/>
      </left>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thin">
        <color rgb="FF000000"/>
      </left>
      <right style="thin">
        <color rgb="FF000000"/>
      </right>
    </border>
    <border>
      <left style="thin">
        <color rgb="FF000000"/>
      </left>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left style="hair">
        <color rgb="FF000000"/>
      </left>
      <right style="thin">
        <color rgb="FF000000"/>
      </right>
      <top style="hair">
        <color rgb="FF000000"/>
      </top>
    </border>
    <border>
      <left style="hair">
        <color rgb="FF000000"/>
      </left>
      <top style="thin">
        <color rgb="FF000000"/>
      </top>
      <bottom style="hair">
        <color rgb="FF000000"/>
      </bottom>
    </border>
    <border>
      <right style="hair">
        <color rgb="FF000000"/>
      </right>
      <top style="thin">
        <color rgb="FF000000"/>
      </top>
      <bottom style="hair">
        <color rgb="FF000000"/>
      </bottom>
    </border>
    <border>
      <left style="thin">
        <color rgb="FF000000"/>
      </left>
      <right style="hair">
        <color rgb="FF000000"/>
      </right>
      <top style="thin">
        <color rgb="FF000000"/>
      </top>
      <bottom style="thin">
        <color rgb="FF000000"/>
      </bottom>
    </border>
    <border>
      <left style="hair">
        <color rgb="FF000000"/>
      </left>
      <right style="hair">
        <color rgb="FF000000"/>
      </right>
      <top style="thin">
        <color rgb="FF000000"/>
      </top>
      <bottom style="thin">
        <color rgb="FF000000"/>
      </bottom>
    </border>
    <border>
      <left style="hair">
        <color rgb="FF000000"/>
      </left>
      <right style="thin">
        <color rgb="FF000000"/>
      </right>
      <top style="thin">
        <color rgb="FF000000"/>
      </top>
      <bottom style="thin">
        <color rgb="FF000000"/>
      </bottom>
    </border>
    <border>
      <left style="hair">
        <color rgb="FF000000"/>
      </left>
      <right style="thin">
        <color rgb="FF000000"/>
      </right>
      <top style="hair">
        <color rgb="FF000000"/>
      </top>
      <bottom style="thin">
        <color rgb="FF000000"/>
      </bottom>
    </border>
  </borders>
  <cellStyleXfs count="1">
    <xf borderId="0" fillId="0" fontId="0" numFmtId="0" applyAlignment="1" applyFont="1"/>
  </cellStyleXfs>
  <cellXfs count="140">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readingOrder="0"/>
    </xf>
    <xf borderId="0" fillId="0" fontId="2" numFmtId="0" xfId="0" applyFont="1"/>
    <xf borderId="1" fillId="2" fontId="1" numFmtId="0" xfId="0" applyBorder="1" applyFill="1" applyFont="1"/>
    <xf borderId="0" fillId="0" fontId="3" numFmtId="0" xfId="0" applyFont="1"/>
    <xf borderId="2" fillId="2" fontId="4" numFmtId="0" xfId="0" applyAlignment="1" applyBorder="1" applyFill="1" applyFont="1">
      <alignment horizontal="left" readingOrder="0" shrinkToFit="0" vertical="center" wrapText="1"/>
    </xf>
    <xf borderId="0" fillId="0" fontId="5" numFmtId="0" xfId="0" applyFont="1"/>
    <xf borderId="1" fillId="2" fontId="2" numFmtId="0" xfId="0" applyBorder="1" applyFill="1" applyFont="1"/>
    <xf borderId="3" fillId="2" fontId="1" numFmtId="0" xfId="0" applyBorder="1" applyFill="1" applyFont="1"/>
    <xf borderId="0" fillId="0" fontId="5" numFmtId="164" xfId="0" applyFont="1" applyNumberFormat="1"/>
    <xf borderId="0" fillId="2" fontId="6" numFmtId="0" xfId="0" applyAlignment="1" applyFill="1" applyFont="1">
      <alignment vertical="bottom"/>
    </xf>
    <xf borderId="1" fillId="2" fontId="7" numFmtId="0" xfId="0" applyBorder="1" applyFill="1" applyFont="1"/>
    <xf borderId="4" fillId="2" fontId="1" numFmtId="0" xfId="0" applyBorder="1" applyFill="1" applyFont="1"/>
    <xf borderId="1" fillId="2" fontId="5" numFmtId="0" xfId="0" applyAlignment="1" applyBorder="1" applyFill="1" applyFont="1">
      <alignment horizontal="left" readingOrder="0"/>
    </xf>
    <xf borderId="0" fillId="0" fontId="5" numFmtId="0" xfId="0" applyAlignment="1" applyFont="1">
      <alignment readingOrder="0"/>
    </xf>
    <xf borderId="1" fillId="2" fontId="5" numFmtId="0" xfId="0" applyBorder="1" applyFill="1" applyFont="1"/>
    <xf borderId="0" fillId="0" fontId="7" numFmtId="0" xfId="0" applyAlignment="1" applyFont="1">
      <alignment readingOrder="0"/>
    </xf>
    <xf borderId="0" fillId="2" fontId="8" numFmtId="0" xfId="0" applyAlignment="1" applyFill="1" applyFont="1">
      <alignment vertical="bottom"/>
    </xf>
    <xf borderId="5" fillId="0" fontId="5" numFmtId="164" xfId="0" applyAlignment="1" applyBorder="1" applyFont="1" applyNumberFormat="1">
      <alignment horizontal="left" readingOrder="0"/>
    </xf>
    <xf borderId="0" fillId="0" fontId="5" numFmtId="15" xfId="0" applyAlignment="1" applyFont="1" applyNumberFormat="1">
      <alignment horizontal="left" readingOrder="0"/>
    </xf>
    <xf borderId="0" fillId="0" fontId="5" numFmtId="15" xfId="0" applyAlignment="1" applyFont="1" applyNumberFormat="1">
      <alignment horizontal="left"/>
    </xf>
    <xf borderId="6" fillId="3" fontId="9" numFmtId="0" xfId="0" applyAlignment="1" applyBorder="1" applyFill="1" applyFont="1">
      <alignment horizontal="center" readingOrder="0" vertical="center"/>
    </xf>
    <xf borderId="7" fillId="3" fontId="9" numFmtId="0" xfId="0" applyAlignment="1" applyBorder="1" applyFill="1" applyFont="1">
      <alignment horizontal="center" readingOrder="0" vertical="center"/>
    </xf>
    <xf borderId="0" fillId="0" fontId="8" numFmtId="0" xfId="0" applyAlignment="1" applyFont="1">
      <alignment vertical="bottom"/>
    </xf>
    <xf borderId="7" fillId="3" fontId="9" numFmtId="0" xfId="0" applyAlignment="1" applyBorder="1" applyFill="1" applyFont="1">
      <alignment horizontal="center" readingOrder="0" shrinkToFit="0" vertical="center" wrapText="1"/>
    </xf>
    <xf borderId="6" fillId="3" fontId="10" numFmtId="0" xfId="0" applyAlignment="1" applyBorder="1" applyFill="1" applyFont="1">
      <alignment horizontal="center"/>
    </xf>
    <xf borderId="8" fillId="3" fontId="9" numFmtId="0" xfId="0" applyAlignment="1" applyBorder="1" applyFill="1" applyFont="1">
      <alignment horizontal="center" readingOrder="0" vertical="center"/>
    </xf>
    <xf borderId="9" fillId="2" fontId="5" numFmtId="0" xfId="0" applyAlignment="1" applyBorder="1" applyFill="1" applyFont="1">
      <alignment horizontal="left" readingOrder="0" shrinkToFit="0" wrapText="1"/>
    </xf>
    <xf borderId="7" fillId="3" fontId="10" numFmtId="0" xfId="0" applyAlignment="1" applyBorder="1" applyFill="1" applyFont="1">
      <alignment horizontal="center"/>
    </xf>
    <xf borderId="0" fillId="3" fontId="9" numFmtId="0" xfId="0" applyAlignment="1" applyFill="1" applyFont="1">
      <alignment horizontal="center" readingOrder="0" vertical="center"/>
    </xf>
    <xf borderId="10" fillId="0" fontId="11" numFmtId="0" xfId="0" applyBorder="1" applyFont="1"/>
    <xf borderId="0" fillId="0" fontId="1" numFmtId="0" xfId="0" applyAlignment="1" applyFont="1">
      <alignment vertical="center"/>
    </xf>
    <xf borderId="7" fillId="3" fontId="10" numFmtId="0" xfId="0" applyAlignment="1" applyBorder="1" applyFill="1" applyFont="1">
      <alignment horizontal="center" shrinkToFit="0" wrapText="1"/>
    </xf>
    <xf borderId="11" fillId="0" fontId="11" numFmtId="0" xfId="0" applyBorder="1" applyFont="1"/>
    <xf borderId="12" fillId="0" fontId="12" numFmtId="0" xfId="0" applyAlignment="1" applyBorder="1" applyFont="1">
      <alignment horizontal="center" readingOrder="0" vertical="center"/>
    </xf>
    <xf borderId="13" fillId="3" fontId="10" numFmtId="0" xfId="0" applyAlignment="1" applyBorder="1" applyFill="1" applyFont="1">
      <alignment horizontal="center" shrinkToFit="0" wrapText="1"/>
    </xf>
    <xf borderId="14" fillId="0" fontId="12" numFmtId="49" xfId="0" applyAlignment="1" applyBorder="1" applyFont="1" applyNumberFormat="1">
      <alignment horizontal="center" readingOrder="0" vertical="center"/>
    </xf>
    <xf borderId="0" fillId="0" fontId="5" numFmtId="0" xfId="0" applyAlignment="1" applyFont="1">
      <alignment shrinkToFit="0" wrapText="1"/>
    </xf>
    <xf borderId="5" fillId="0" fontId="5" numFmtId="0" xfId="0" applyAlignment="1" applyBorder="1" applyFont="1">
      <alignment horizontal="center" shrinkToFit="0" vertical="center" wrapText="1"/>
    </xf>
    <xf borderId="14" fillId="0" fontId="12" numFmtId="0" xfId="0" applyAlignment="1" applyBorder="1" applyFont="1">
      <alignment horizontal="center" readingOrder="0" vertical="center"/>
    </xf>
    <xf borderId="6" fillId="3" fontId="10" numFmtId="0" xfId="0" applyAlignment="1" applyBorder="1" applyFill="1" applyFont="1">
      <alignment horizontal="center" readingOrder="0" vertical="center"/>
    </xf>
    <xf borderId="7" fillId="3" fontId="10" numFmtId="0" xfId="0" applyAlignment="1" applyBorder="1" applyFill="1" applyFont="1">
      <alignment horizontal="center" readingOrder="0" vertical="center"/>
    </xf>
    <xf borderId="14" fillId="0" fontId="12" numFmtId="1" xfId="0" applyAlignment="1" applyBorder="1" applyFont="1" applyNumberFormat="1">
      <alignment horizontal="center" vertical="center"/>
    </xf>
    <xf borderId="15" fillId="0" fontId="11" numFmtId="0" xfId="0" applyBorder="1" applyFont="1"/>
    <xf borderId="5" fillId="0" fontId="5" numFmtId="164" xfId="0" applyAlignment="1" applyBorder="1" applyFont="1" applyNumberFormat="1">
      <alignment horizontal="center" readingOrder="0" vertical="center"/>
    </xf>
    <xf borderId="14" fillId="0" fontId="5" numFmtId="0" xfId="0" applyAlignment="1" applyBorder="1" applyFont="1">
      <alignment horizontal="center" readingOrder="0" shrinkToFit="0" vertical="center" wrapText="1"/>
    </xf>
    <xf borderId="14" fillId="0" fontId="5" numFmtId="49" xfId="0" applyAlignment="1" applyBorder="1" applyFont="1" applyNumberFormat="1">
      <alignment horizontal="center" vertical="center"/>
    </xf>
    <xf borderId="14" fillId="0" fontId="5" numFmtId="0" xfId="0" applyAlignment="1" applyBorder="1" applyFont="1">
      <alignment horizontal="center" readingOrder="0" vertical="center"/>
    </xf>
    <xf borderId="16" fillId="0" fontId="12" numFmtId="1" xfId="0" applyAlignment="1" applyBorder="1" applyFont="1" applyNumberFormat="1">
      <alignment horizontal="center" shrinkToFit="0" vertical="center" wrapText="1"/>
    </xf>
    <xf borderId="14" fillId="0" fontId="13" numFmtId="0" xfId="0" applyAlignment="1" applyBorder="1" applyFont="1">
      <alignment horizontal="left" readingOrder="0" shrinkToFit="0" vertical="center" wrapText="1"/>
    </xf>
    <xf borderId="17" fillId="0" fontId="12" numFmtId="1" xfId="0" applyAlignment="1" applyBorder="1" applyFont="1" applyNumberFormat="1">
      <alignment horizontal="center" shrinkToFit="0" vertical="center" wrapText="1"/>
    </xf>
    <xf borderId="16" fillId="0" fontId="5" numFmtId="1" xfId="0" applyAlignment="1" applyBorder="1" applyFont="1" applyNumberFormat="1">
      <alignment horizontal="center" shrinkToFit="0" vertical="center" wrapText="1"/>
    </xf>
    <xf borderId="0" fillId="0" fontId="5" numFmtId="0" xfId="0" applyAlignment="1" applyFont="1">
      <alignment vertical="center"/>
    </xf>
    <xf borderId="14" fillId="0" fontId="12" numFmtId="0" xfId="0" applyAlignment="1" applyBorder="1" applyFont="1">
      <alignment horizontal="center" vertical="center"/>
    </xf>
    <xf borderId="14" fillId="0" fontId="12" numFmtId="1" xfId="0" applyAlignment="1" applyBorder="1" applyFont="1" applyNumberFormat="1">
      <alignment horizontal="center" shrinkToFit="0" vertical="center" wrapText="1"/>
    </xf>
    <xf borderId="12" fillId="2" fontId="6" numFmtId="0" xfId="0" applyAlignment="1" applyBorder="1" applyFill="1" applyFont="1">
      <alignment vertical="bottom"/>
    </xf>
    <xf borderId="14" fillId="0" fontId="5" numFmtId="0" xfId="0" applyAlignment="1" applyBorder="1" applyFont="1">
      <alignment horizontal="center" shrinkToFit="0" vertical="center" wrapText="1"/>
    </xf>
    <xf borderId="18" fillId="2" fontId="1" numFmtId="0" xfId="0" applyAlignment="1" applyBorder="1" applyFill="1" applyFont="1">
      <alignment readingOrder="0" vertical="bottom"/>
    </xf>
    <xf borderId="19" fillId="0" fontId="11" numFmtId="0" xfId="0" applyBorder="1" applyFont="1"/>
    <xf borderId="20" fillId="0" fontId="11" numFmtId="0" xfId="0" applyBorder="1" applyFont="1"/>
    <xf borderId="18" fillId="2" fontId="1" numFmtId="0" xfId="0" applyAlignment="1" applyBorder="1" applyFill="1" applyFont="1">
      <alignment readingOrder="0" vertical="top"/>
    </xf>
    <xf borderId="21" fillId="0" fontId="5" numFmtId="0" xfId="0" applyAlignment="1" applyBorder="1" applyFont="1">
      <alignment horizontal="center" readingOrder="0" vertical="center"/>
    </xf>
    <xf borderId="22" fillId="0" fontId="5" numFmtId="164" xfId="0" applyAlignment="1" applyBorder="1" applyFont="1" applyNumberFormat="1">
      <alignment horizontal="center" readingOrder="0" vertical="center"/>
    </xf>
    <xf borderId="17" fillId="0" fontId="5" numFmtId="1" xfId="0" applyAlignment="1" applyBorder="1" applyFont="1" applyNumberFormat="1">
      <alignment horizontal="center" shrinkToFit="0" vertical="center" wrapText="1"/>
    </xf>
    <xf borderId="0" fillId="0" fontId="14" numFmtId="0" xfId="0" applyAlignment="1" applyFont="1">
      <alignment shrinkToFit="0" wrapText="1"/>
    </xf>
    <xf borderId="23" fillId="0" fontId="5" numFmtId="164" xfId="0" applyAlignment="1" applyBorder="1" applyFont="1" applyNumberFormat="1">
      <alignment horizontal="center" readingOrder="0" vertical="center"/>
    </xf>
    <xf borderId="24" fillId="0" fontId="5" numFmtId="49" xfId="0" applyAlignment="1" applyBorder="1" applyFont="1" applyNumberFormat="1">
      <alignment horizontal="center" readingOrder="0" vertical="center"/>
    </xf>
    <xf borderId="24" fillId="0" fontId="5" numFmtId="0" xfId="0" applyAlignment="1" applyBorder="1" applyFont="1">
      <alignment horizontal="center" readingOrder="0" vertical="center"/>
    </xf>
    <xf borderId="12" fillId="2" fontId="1" numFmtId="0" xfId="0" applyAlignment="1" applyBorder="1" applyFill="1" applyFont="1">
      <alignment horizontal="right" vertical="bottom"/>
    </xf>
    <xf borderId="12" fillId="2" fontId="1" numFmtId="0" xfId="0" applyAlignment="1" applyBorder="1" applyFill="1" applyFont="1">
      <alignment horizontal="right" readingOrder="0" vertical="bottom"/>
    </xf>
    <xf borderId="0" fillId="0" fontId="1" numFmtId="0" xfId="0" applyAlignment="1" applyFont="1">
      <alignment horizontal="center" vertical="center"/>
    </xf>
    <xf borderId="12" fillId="2" fontId="1" numFmtId="0" xfId="0" applyAlignment="1" applyBorder="1" applyFill="1" applyFont="1">
      <alignment horizontal="center" vertical="bottom"/>
    </xf>
    <xf borderId="12" fillId="2" fontId="1" numFmtId="0" xfId="0" applyAlignment="1" applyBorder="1" applyFill="1" applyFont="1">
      <alignment horizontal="center" readingOrder="0" vertical="bottom"/>
    </xf>
    <xf borderId="17" fillId="0" fontId="12" numFmtId="1" xfId="0" applyAlignment="1" applyBorder="1" applyFont="1" applyNumberFormat="1">
      <alignment horizontal="center" vertical="center"/>
    </xf>
    <xf borderId="12" fillId="0" fontId="1" numFmtId="0" xfId="0" applyAlignment="1" applyBorder="1" applyFont="1">
      <alignment horizontal="center" vertical="bottom"/>
    </xf>
    <xf borderId="19" fillId="2" fontId="8" numFmtId="0" xfId="0" applyAlignment="1" applyBorder="1" applyFill="1" applyFont="1">
      <alignment vertical="bottom"/>
    </xf>
    <xf borderId="19" fillId="0" fontId="8" numFmtId="0" xfId="0" applyAlignment="1" applyBorder="1" applyFont="1">
      <alignment vertical="bottom"/>
    </xf>
    <xf borderId="15" fillId="2" fontId="8" numFmtId="0" xfId="0" applyAlignment="1" applyBorder="1" applyFill="1" applyFont="1">
      <alignment vertical="bottom"/>
    </xf>
    <xf borderId="25" fillId="4" fontId="15" numFmtId="0" xfId="0" applyAlignment="1" applyBorder="1" applyFill="1" applyFont="1">
      <alignment horizontal="center" vertical="bottom"/>
    </xf>
    <xf borderId="25" fillId="4" fontId="15" numFmtId="0" xfId="0" applyAlignment="1" applyBorder="1" applyFill="1" applyFont="1">
      <alignment vertical="bottom"/>
    </xf>
    <xf borderId="26" fillId="4" fontId="15" numFmtId="0" xfId="0" applyAlignment="1" applyBorder="1" applyFill="1" applyFont="1">
      <alignment horizontal="center" vertical="bottom"/>
    </xf>
    <xf borderId="27" fillId="4" fontId="15" numFmtId="0" xfId="0" applyAlignment="1" applyBorder="1" applyFill="1" applyFont="1">
      <alignment horizontal="center" vertical="bottom"/>
    </xf>
    <xf borderId="27" fillId="4" fontId="15" numFmtId="0" xfId="0" applyAlignment="1" applyBorder="1" applyFill="1" applyFont="1">
      <alignment horizontal="center" readingOrder="0" vertical="bottom"/>
    </xf>
    <xf borderId="28" fillId="0" fontId="11" numFmtId="0" xfId="0" applyBorder="1" applyFont="1"/>
    <xf borderId="29" fillId="0" fontId="11" numFmtId="0" xfId="0" applyBorder="1" applyFont="1"/>
    <xf borderId="20" fillId="5" fontId="8" numFmtId="0" xfId="0" applyAlignment="1" applyBorder="1" applyFill="1" applyFont="1">
      <alignment vertical="bottom"/>
    </xf>
    <xf borderId="18" fillId="6" fontId="6" numFmtId="0" xfId="0" applyAlignment="1" applyBorder="1" applyFill="1" applyFont="1">
      <alignment readingOrder="0" vertical="bottom"/>
    </xf>
    <xf borderId="12" fillId="0" fontId="1" numFmtId="0" xfId="0" applyAlignment="1" applyBorder="1" applyFont="1">
      <alignment readingOrder="0" vertical="top"/>
    </xf>
    <xf borderId="21" fillId="0" fontId="12" numFmtId="0" xfId="0" applyAlignment="1" applyBorder="1" applyFont="1">
      <alignment horizontal="center" vertical="center"/>
    </xf>
    <xf borderId="12" fillId="0" fontId="16" numFmtId="0" xfId="0" applyAlignment="1" applyBorder="1" applyFont="1">
      <alignment readingOrder="0" shrinkToFit="0" vertical="top" wrapText="1"/>
    </xf>
    <xf borderId="12" fillId="0" fontId="16" numFmtId="0" xfId="0" applyAlignment="1" applyBorder="1" applyFont="1">
      <alignment horizontal="left" readingOrder="0" shrinkToFit="0" vertical="top" wrapText="1"/>
    </xf>
    <xf borderId="21" fillId="0" fontId="12" numFmtId="1" xfId="0" applyAlignment="1" applyBorder="1" applyFont="1" applyNumberFormat="1">
      <alignment horizontal="center" vertical="center"/>
    </xf>
    <xf borderId="18" fillId="0" fontId="16" numFmtId="0" xfId="0" applyAlignment="1" applyBorder="1" applyFont="1">
      <alignment horizontal="left" readingOrder="0" shrinkToFit="0" vertical="top" wrapText="1"/>
    </xf>
    <xf borderId="30" fillId="0" fontId="12" numFmtId="1" xfId="0" applyAlignment="1" applyBorder="1" applyFont="1" applyNumberFormat="1">
      <alignment horizontal="center" vertical="center"/>
    </xf>
    <xf borderId="31" fillId="3" fontId="9" numFmtId="0" xfId="0" applyAlignment="1" applyBorder="1" applyFill="1" applyFont="1">
      <alignment horizontal="center" readingOrder="0" vertical="center"/>
    </xf>
    <xf borderId="32" fillId="0" fontId="11" numFmtId="0" xfId="0" applyBorder="1" applyFont="1"/>
    <xf borderId="33" fillId="3" fontId="17" numFmtId="0" xfId="0" applyAlignment="1" applyBorder="1" applyFill="1" applyFont="1">
      <alignment horizontal="center" vertical="center"/>
    </xf>
    <xf borderId="34" fillId="3" fontId="17" numFmtId="1" xfId="0" applyAlignment="1" applyBorder="1" applyFill="1" applyFont="1" applyNumberFormat="1">
      <alignment horizontal="center" vertical="center"/>
    </xf>
    <xf borderId="35" fillId="3" fontId="17" numFmtId="1" xfId="0" applyAlignment="1" applyBorder="1" applyFill="1" applyFont="1" applyNumberFormat="1">
      <alignment horizontal="center" vertical="center"/>
    </xf>
    <xf borderId="0" fillId="0" fontId="1" numFmtId="0" xfId="0" applyAlignment="1" applyFont="1">
      <alignment horizontal="center" readingOrder="0" vertical="center"/>
    </xf>
    <xf borderId="0" fillId="0" fontId="5" numFmtId="49" xfId="0" applyAlignment="1" applyFont="1" applyNumberFormat="1">
      <alignment vertical="center"/>
    </xf>
    <xf borderId="12" fillId="0" fontId="18" numFmtId="0" xfId="0" applyAlignment="1" applyBorder="1" applyFont="1">
      <alignment horizontal="left" readingOrder="0" shrinkToFit="0" vertical="top" wrapText="1"/>
    </xf>
    <xf borderId="18" fillId="0" fontId="19" numFmtId="165" xfId="0" applyAlignment="1" applyBorder="1" applyFont="1" applyNumberFormat="1">
      <alignment readingOrder="0" vertical="top"/>
    </xf>
    <xf borderId="12" fillId="0" fontId="8" numFmtId="0" xfId="0" applyAlignment="1" applyBorder="1" applyFont="1">
      <alignment vertical="bottom"/>
    </xf>
    <xf borderId="12" fillId="0" fontId="8" numFmtId="0" xfId="0" applyAlignment="1" applyBorder="1" applyFont="1">
      <alignment vertical="top"/>
    </xf>
    <xf borderId="14" fillId="0" fontId="5" numFmtId="0" xfId="0" applyAlignment="1" applyBorder="1" applyFont="1">
      <alignment horizontal="center" vertical="center"/>
    </xf>
    <xf borderId="14" fillId="0" fontId="20" numFmtId="0" xfId="0" applyAlignment="1" applyBorder="1" applyFont="1">
      <alignment horizontal="center"/>
    </xf>
    <xf borderId="14" fillId="0" fontId="5" numFmtId="0" xfId="0" applyAlignment="1" applyBorder="1" applyFont="1">
      <alignment horizontal="center"/>
    </xf>
    <xf borderId="17" fillId="0" fontId="5" numFmtId="0" xfId="0" applyAlignment="1" applyBorder="1" applyFont="1">
      <alignment horizontal="center"/>
    </xf>
    <xf borderId="21" fillId="0" fontId="5" numFmtId="0" xfId="0" applyAlignment="1" applyBorder="1" applyFont="1">
      <alignment horizontal="center" vertical="center"/>
    </xf>
    <xf borderId="21" fillId="0" fontId="20" numFmtId="0" xfId="0" applyAlignment="1" applyBorder="1" applyFont="1">
      <alignment horizontal="center"/>
    </xf>
    <xf borderId="21" fillId="0" fontId="5" numFmtId="0" xfId="0" applyAlignment="1" applyBorder="1" applyFont="1">
      <alignment horizontal="center"/>
    </xf>
    <xf borderId="30" fillId="0" fontId="5" numFmtId="0" xfId="0" applyAlignment="1" applyBorder="1" applyFont="1">
      <alignment horizontal="center"/>
    </xf>
    <xf borderId="23" fillId="3" fontId="21" numFmtId="0" xfId="0" applyAlignment="1" applyBorder="1" applyFill="1" applyFont="1">
      <alignment horizontal="center"/>
    </xf>
    <xf borderId="24" fillId="3" fontId="10" numFmtId="0" xfId="0" applyBorder="1" applyFill="1" applyFont="1"/>
    <xf borderId="24" fillId="3" fontId="21" numFmtId="1" xfId="0" applyAlignment="1" applyBorder="1" applyFill="1" applyFont="1" applyNumberFormat="1">
      <alignment horizontal="center"/>
    </xf>
    <xf borderId="24" fillId="3" fontId="21" numFmtId="0" xfId="0" applyAlignment="1" applyBorder="1" applyFill="1" applyFont="1">
      <alignment horizontal="center"/>
    </xf>
    <xf borderId="24" fillId="3" fontId="21" numFmtId="0" xfId="0" applyAlignment="1" applyBorder="1" applyFill="1" applyFont="1">
      <alignment horizontal="center" readingOrder="0"/>
    </xf>
    <xf borderId="36" fillId="3" fontId="21" numFmtId="1" xfId="0" applyAlignment="1" applyBorder="1" applyFill="1" applyFont="1" applyNumberFormat="1">
      <alignment horizontal="center"/>
    </xf>
    <xf borderId="0" fillId="0" fontId="5" numFmtId="0" xfId="0" applyAlignment="1" applyFont="1">
      <alignment horizontal="center"/>
    </xf>
    <xf borderId="0" fillId="0" fontId="5" numFmtId="10" xfId="0" applyAlignment="1" applyFont="1" applyNumberFormat="1">
      <alignment horizontal="center"/>
    </xf>
    <xf borderId="0" fillId="0" fontId="5" numFmtId="9" xfId="0" applyAlignment="1" applyFont="1" applyNumberFormat="1">
      <alignment horizontal="center"/>
    </xf>
    <xf borderId="0" fillId="0" fontId="22" numFmtId="2" xfId="0" applyAlignment="1" applyFont="1" applyNumberFormat="1">
      <alignment horizontal="right" shrinkToFit="0" wrapText="1"/>
    </xf>
    <xf borderId="0" fillId="0" fontId="23" numFmtId="0" xfId="0" applyAlignment="1" applyFont="1">
      <alignment horizontal="center" shrinkToFit="0" wrapText="1"/>
    </xf>
    <xf borderId="12" fillId="0" fontId="24" numFmtId="0" xfId="0" applyAlignment="1" applyBorder="1" applyFont="1">
      <alignment readingOrder="0" vertical="top"/>
    </xf>
    <xf borderId="12" fillId="0" fontId="8" numFmtId="0" xfId="0" applyAlignment="1" applyBorder="1" applyFont="1">
      <alignment readingOrder="0" vertical="top"/>
    </xf>
    <xf borderId="0" fillId="0" fontId="16" numFmtId="0" xfId="0" applyAlignment="1" applyFont="1">
      <alignment horizontal="left" readingOrder="0" shrinkToFit="0" vertical="top" wrapText="1"/>
    </xf>
    <xf borderId="0" fillId="0" fontId="8" numFmtId="0" xfId="0" applyAlignment="1" applyFont="1">
      <alignment vertical="top"/>
    </xf>
    <xf borderId="0" fillId="0" fontId="25" numFmtId="0" xfId="0" applyAlignment="1" applyFont="1">
      <alignment vertical="bottom"/>
    </xf>
    <xf borderId="12" fillId="0" fontId="26" numFmtId="0" xfId="0" applyAlignment="1" applyBorder="1" applyFont="1">
      <alignment horizontal="left" readingOrder="0" shrinkToFit="0" vertical="top" wrapText="1"/>
    </xf>
    <xf borderId="0" fillId="0" fontId="1" numFmtId="0" xfId="0" applyAlignment="1" applyFont="1">
      <alignment readingOrder="0" vertical="top"/>
    </xf>
    <xf borderId="0" fillId="0" fontId="16" numFmtId="0" xfId="0" applyAlignment="1" applyFont="1">
      <alignment readingOrder="0" shrinkToFit="0" vertical="top" wrapText="1"/>
    </xf>
    <xf borderId="0" fillId="0" fontId="19" numFmtId="165" xfId="0" applyAlignment="1" applyFont="1" applyNumberFormat="1">
      <alignment readingOrder="0" vertical="top"/>
    </xf>
    <xf borderId="0" fillId="0" fontId="8" numFmtId="0" xfId="0" applyAlignment="1" applyFont="1">
      <alignment readingOrder="0" vertical="top"/>
    </xf>
    <xf borderId="0" fillId="7" fontId="6" numFmtId="0" xfId="0" applyAlignment="1" applyFill="1" applyFont="1">
      <alignment readingOrder="0" vertical="bottom"/>
    </xf>
    <xf borderId="0" fillId="2" fontId="6" numFmtId="0" xfId="0" applyAlignment="1" applyFill="1" applyFont="1">
      <alignment readingOrder="0" vertical="bottom"/>
    </xf>
    <xf borderId="12" fillId="0" fontId="27" numFmtId="0" xfId="0" applyAlignment="1" applyBorder="1" applyFont="1">
      <alignment horizontal="left" readingOrder="0" shrinkToFit="0" vertical="top" wrapText="1"/>
    </xf>
    <xf borderId="18" fillId="0" fontId="8" numFmtId="0" xfId="0" applyAlignment="1" applyBorder="1" applyFont="1">
      <alignment vertical="bottom"/>
    </xf>
    <xf borderId="18" fillId="0" fontId="19" numFmtId="0" xfId="0" applyAlignment="1" applyBorder="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1" Type="http://schemas.openxmlformats.org/officeDocument/2006/relationships/worksheet" Target="worksheets/sheet1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1457uFFnuaN8qYz22xJ_8tZkmW7vrosm/view?usp=sharing" TargetMode="External"/><Relationship Id="rId2" Type="http://schemas.openxmlformats.org/officeDocument/2006/relationships/hyperlink" Target="https://drive.google.com/file/d/1Pf6FdlkbWuNHIuXwYsyV3xqYwB60TEn2/view?usp=sharing" TargetMode="External"/><Relationship Id="rId3" Type="http://schemas.openxmlformats.org/officeDocument/2006/relationships/hyperlink" Target="https://drive.google.com/file/d/1mcRVY6nsT1VAChhIh0OhXD80GgVYBc4p/view?usp=sharing" TargetMode="External"/><Relationship Id="rId4" Type="http://schemas.openxmlformats.org/officeDocument/2006/relationships/hyperlink" Target="https://drive.google.com/file/d/1-fa-HOpkZxzj7tRjgqGYH160zYgCTWdi/view?usp=sharing" TargetMode="External"/><Relationship Id="rId11" Type="http://schemas.openxmlformats.org/officeDocument/2006/relationships/hyperlink" Target="https://drive.google.com/file/d/1O5hIvYFIxITlW18GheN9H9yEm0wKqPXW/view?usp=sharing" TargetMode="External"/><Relationship Id="rId10" Type="http://schemas.openxmlformats.org/officeDocument/2006/relationships/hyperlink" Target="https://drive.google.com/file/d/1zMnP_sjTQXsxmtO99yC-0B8camGD2eEM/view?usp=sharing" TargetMode="External"/><Relationship Id="rId12" Type="http://schemas.openxmlformats.org/officeDocument/2006/relationships/drawing" Target="../drawings/drawing4.xml"/><Relationship Id="rId9" Type="http://schemas.openxmlformats.org/officeDocument/2006/relationships/hyperlink" Target="https://drive.google.com/file/d/11yM9S2ACRuw0U1xcj4Vj8n55g-n40J4x/view?usp=sharing" TargetMode="External"/><Relationship Id="rId5" Type="http://schemas.openxmlformats.org/officeDocument/2006/relationships/hyperlink" Target="https://drive.google.com/file/d/1GwlkqsiXOgZFxi5PPi6Jd3cwleMzxvh5/view?usp=sharing" TargetMode="External"/><Relationship Id="rId6" Type="http://schemas.openxmlformats.org/officeDocument/2006/relationships/hyperlink" Target="https://drive.google.com/file/d/1FzjKMtWSPam7uO3jwhTze7mpsxueY_o4/view?usp=sharing" TargetMode="External"/><Relationship Id="rId7" Type="http://schemas.openxmlformats.org/officeDocument/2006/relationships/hyperlink" Target="https://drive.google.com/file/d/1Iv1ER5RwIihxx18hVxtkpNhNZzOklHSD/view?usp=sharing" TargetMode="External"/><Relationship Id="rId8" Type="http://schemas.openxmlformats.org/officeDocument/2006/relationships/hyperlink" Target="https://drive.google.com/file/d/1O-QxqWVVeVEYl53js6edclUbYEIi8Gu0/view?usp=sharing" TargetMode="External"/></Relationships>
</file>

<file path=xl/worksheets/_rels/sheet5.xml.rels><?xml version="1.0" encoding="UTF-8" standalone="yes"?><Relationships xmlns="http://schemas.openxmlformats.org/package/2006/relationships"><Relationship Id="rId20" Type="http://schemas.openxmlformats.org/officeDocument/2006/relationships/hyperlink" Target="https://drive.google.com/file/d/1Kf81Ayh-BhbyNGepM6Z8UkSjcnLSK55N/view?usp=sharing" TargetMode="External"/><Relationship Id="rId22" Type="http://schemas.openxmlformats.org/officeDocument/2006/relationships/hyperlink" Target="https://drive.google.com/file/d/16QSbbulWgmy9XLJu5yCxTqibX2saSkgc/view?usp=sharing" TargetMode="External"/><Relationship Id="rId21" Type="http://schemas.openxmlformats.org/officeDocument/2006/relationships/hyperlink" Target="https://drive.google.com/file/d/1uxPErgSIwl2PyW925a9JK77XVcapoye3/view?usp=sharing" TargetMode="External"/><Relationship Id="rId24" Type="http://schemas.openxmlformats.org/officeDocument/2006/relationships/hyperlink" Target="https://drive.google.com/file/d/1vQ3kGhE8k-NELfmMzH4UyJARzeEFZKV4/view?usp=sharing" TargetMode="External"/><Relationship Id="rId23" Type="http://schemas.openxmlformats.org/officeDocument/2006/relationships/hyperlink" Target="https://drive.google.com/file/d/1gimvOIx7X-Rhw57Qj3NS6B6ea7BNCh3q/view?usp=sharing" TargetMode="External"/><Relationship Id="rId1" Type="http://schemas.openxmlformats.org/officeDocument/2006/relationships/hyperlink" Target="https://drive.google.com/file/d/1pCwkHe1eq8-YYXDC4dbXhEfLzUVrytVs/view?usp=sharing" TargetMode="External"/><Relationship Id="rId2" Type="http://schemas.openxmlformats.org/officeDocument/2006/relationships/hyperlink" Target="https://drive.google.com/file/d/1L72exKZkuJnaNWwbgH_9fG1pP-QMaLAG/view?usp=sharing" TargetMode="External"/><Relationship Id="rId3" Type="http://schemas.openxmlformats.org/officeDocument/2006/relationships/hyperlink" Target="https://drive.google.com/file/d/19ZiBXsX0vpBdx6nVkDq4qHXpn4uC4u--/view?usp=sharing" TargetMode="External"/><Relationship Id="rId4" Type="http://schemas.openxmlformats.org/officeDocument/2006/relationships/hyperlink" Target="https://drive.google.com/file/d/13Es7CNI0XPneSpccEh9gfou0gollJwbr/view?usp=sharing" TargetMode="External"/><Relationship Id="rId9" Type="http://schemas.openxmlformats.org/officeDocument/2006/relationships/hyperlink" Target="https://drive.google.com/file/d/19Etd-l6ymrEAmcevXie5v1LAUlBbfYmD/view?usp=sharing" TargetMode="External"/><Relationship Id="rId26" Type="http://schemas.openxmlformats.org/officeDocument/2006/relationships/hyperlink" Target="https://drive.google.com/file/d/1Azy6wzQI1_QEsVqItftQVy8C7lnz_N32/view?usp=sharing" TargetMode="External"/><Relationship Id="rId25" Type="http://schemas.openxmlformats.org/officeDocument/2006/relationships/hyperlink" Target="https://drive.google.com/file/d/1m5Ra8QvRi-DWdzbyyJX_o4sTQ-DOFKTx/view?usp=sharing" TargetMode="External"/><Relationship Id="rId28" Type="http://schemas.openxmlformats.org/officeDocument/2006/relationships/drawing" Target="../drawings/drawing5.xml"/><Relationship Id="rId27" Type="http://schemas.openxmlformats.org/officeDocument/2006/relationships/hyperlink" Target="https://drive.google.com/file/d/1KPasyioO63Fi2ECZgpcn88I1_W17k41T/view?usp=sharing" TargetMode="External"/><Relationship Id="rId5" Type="http://schemas.openxmlformats.org/officeDocument/2006/relationships/hyperlink" Target="https://drive.google.com/file/d/1RbIJ3MJrctSG6OfqS4EdxbBgbG3jKC4s/view?usp=sharing" TargetMode="External"/><Relationship Id="rId6" Type="http://schemas.openxmlformats.org/officeDocument/2006/relationships/hyperlink" Target="https://drive.google.com/file/d/1151gMXi-N2kz_7e6Ov_zjYA14Jm4-8rj/view?usp=sharing" TargetMode="External"/><Relationship Id="rId7" Type="http://schemas.openxmlformats.org/officeDocument/2006/relationships/hyperlink" Target="https://drive.google.com/file/d/1ldmx0d2pun6Fq2p3FBKyL0Mlcq6imF5j/view?usp=sharing" TargetMode="External"/><Relationship Id="rId8" Type="http://schemas.openxmlformats.org/officeDocument/2006/relationships/hyperlink" Target="https://drive.google.com/file/d/1q3fPvUA-d1wcoT2GkjiavE79xO8rUPjB/view?usp=sharing" TargetMode="External"/><Relationship Id="rId11" Type="http://schemas.openxmlformats.org/officeDocument/2006/relationships/hyperlink" Target="https://drive.google.com/file/d/1sIxsBfCfI8xlrQe9fibF6OwfbRfDoPZc/view?usp=sharing" TargetMode="External"/><Relationship Id="rId10" Type="http://schemas.openxmlformats.org/officeDocument/2006/relationships/hyperlink" Target="https://drive.google.com/file/d/1JCBQuoBJ_ofi-LBhMhz91-TAx5crfx2c/view?usp=sharing" TargetMode="External"/><Relationship Id="rId13" Type="http://schemas.openxmlformats.org/officeDocument/2006/relationships/hyperlink" Target="https://drive.google.com/file/d/1dEweyLBk1LvlsWLuXhweXEVNuscVzF3G/view?usp=sharing" TargetMode="External"/><Relationship Id="rId12" Type="http://schemas.openxmlformats.org/officeDocument/2006/relationships/hyperlink" Target="https://drive.google.com/file/d/1C5cAs53ikVksddPFc0-H5SDLdIPAfHP-/view?usp=sharing" TargetMode="External"/><Relationship Id="rId15" Type="http://schemas.openxmlformats.org/officeDocument/2006/relationships/hyperlink" Target="https://drive.google.com/file/d/1DkRxAReJDMAY-oFknXs7gcbNLVVw0Fic/view?usp=sharing" TargetMode="External"/><Relationship Id="rId14" Type="http://schemas.openxmlformats.org/officeDocument/2006/relationships/hyperlink" Target="https://drive.google.com/file/d/1BxRkG71QM9f96yec3V8gfcz9AYIMtIya/view?usp=sharing" TargetMode="External"/><Relationship Id="rId17" Type="http://schemas.openxmlformats.org/officeDocument/2006/relationships/hyperlink" Target="https://drive.google.com/file/d/1DOgbmpGvTWjpojy40uqBMQpmayZcJg7n/view?usp=sharing" TargetMode="External"/><Relationship Id="rId16" Type="http://schemas.openxmlformats.org/officeDocument/2006/relationships/hyperlink" Target="https://drive.google.com/file/d/15Lb1hPZPR8P0cVDvcZTRlgYg62rSoYFv/view?usp=sharing" TargetMode="External"/><Relationship Id="rId19" Type="http://schemas.openxmlformats.org/officeDocument/2006/relationships/hyperlink" Target="https://drive.google.com/file/d/1-quoaLT_3brvFXVZTWjiHHyBeWMgZiis/view?usp=sharing" TargetMode="External"/><Relationship Id="rId18" Type="http://schemas.openxmlformats.org/officeDocument/2006/relationships/hyperlink" Target="https://drive.google.com/file/d/1usVNCOQ_TwGjwlJB9AMNDqaCoiJMK-us/view?usp=sharing"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H2u9TMQxRaV8SMWA1md44TrPIEE2iOjX/view?usp=sharing" TargetMode="External"/><Relationship Id="rId2" Type="http://schemas.openxmlformats.org/officeDocument/2006/relationships/hyperlink" Target="https://drive.google.com/file/d/10kZ7aV531gE3PQjs1KUO6LTOQJn_i6Xt/view?usp=sharing" TargetMode="External"/><Relationship Id="rId3" Type="http://schemas.openxmlformats.org/officeDocument/2006/relationships/hyperlink" Target="https://drive.google.com/file/d/1bigBCjWF-UCvSlCrlZXtDxMF_BxN-S-y/view?usp=sharing" TargetMode="External"/><Relationship Id="rId4" Type="http://schemas.openxmlformats.org/officeDocument/2006/relationships/hyperlink" Target="https://drive.google.com/file/d/1bawJNyxBMY20H39T0dQOS0EBNDImlApV/view?usp=sharing" TargetMode="External"/><Relationship Id="rId9" Type="http://schemas.openxmlformats.org/officeDocument/2006/relationships/hyperlink" Target="https://drive.google.com/file/d/1KssTjeftf-tPYVvSSl3lmTy13Ti9qslv/view?usp=sharing" TargetMode="External"/><Relationship Id="rId5" Type="http://schemas.openxmlformats.org/officeDocument/2006/relationships/hyperlink" Target="https://drive.google.com/file/d/1J4aZ9-5Upl9x2RrC0aMfMl3fSeUCbakX/view?usp=sharing" TargetMode="External"/><Relationship Id="rId6" Type="http://schemas.openxmlformats.org/officeDocument/2006/relationships/hyperlink" Target="https://drive.google.com/file/d/1X_34mNc0qz1CzaW9R8j0wbrgZcxGrUk9/view?usp=sharing" TargetMode="External"/><Relationship Id="rId7" Type="http://schemas.openxmlformats.org/officeDocument/2006/relationships/hyperlink" Target="https://drive.google.com/file/d/1Ujku9khtthiaq0rWOG2ex_bMX_c9z3Ly/view?usp=sharing" TargetMode="External"/><Relationship Id="rId8" Type="http://schemas.openxmlformats.org/officeDocument/2006/relationships/hyperlink" Target="https://drive.google.com/file/d/1J0hKP8zrWo-Fl8w1dQaZBb-3c5QvLRW7/view?usp=sharing" TargetMode="External"/><Relationship Id="rId11" Type="http://schemas.openxmlformats.org/officeDocument/2006/relationships/hyperlink" Target="https://drive.google.com/file/d/1AKMVAsAv7BmEFRC2dsQZRkKYGlM-1srG/view?usp=sharing" TargetMode="External"/><Relationship Id="rId10" Type="http://schemas.openxmlformats.org/officeDocument/2006/relationships/hyperlink" Target="https://drive.google.com/file/d/14hmvrJroBlhIY1K_uIh-UsjI8Uuhhw9j/view?usp=sharing" TargetMode="External"/><Relationship Id="rId1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file/d/1UCOVicNVv6WBNCIv7yPaRVFK40IkBDmt/view?usp=sharing" TargetMode="External"/><Relationship Id="rId2" Type="http://schemas.openxmlformats.org/officeDocument/2006/relationships/hyperlink" Target="https://drive.google.com/file/d/1hDIulYFXkUQ1E5x-DxuYBw2227ylww9B/view?usp=sharing" TargetMode="External"/><Relationship Id="rId3" Type="http://schemas.openxmlformats.org/officeDocument/2006/relationships/hyperlink" Target="https://drive.google.com/file/d/1WF4PVG1Ms6dmpvcS4-NKyNZZFScvrgYr/view?usp=sharing" TargetMode="External"/><Relationship Id="rId4" Type="http://schemas.openxmlformats.org/officeDocument/2006/relationships/hyperlink" Target="https://drive.google.com/file/d/1UaSovRqYghA2ORYIocjNAden5M5NaTQg/view?usp=sharing" TargetMode="External"/><Relationship Id="rId9" Type="http://schemas.openxmlformats.org/officeDocument/2006/relationships/hyperlink" Target="https://drive.google.com/file/d/1C6jq4_8GJUet5OJFAlxy9Ny-wrpZ3jra/view?usp=sharing" TargetMode="External"/><Relationship Id="rId5" Type="http://schemas.openxmlformats.org/officeDocument/2006/relationships/hyperlink" Target="https://drive.google.com/file/d/11nMgFfeEzfnJTiQRhru0AqhqwZx_WNNy/view?usp=sharing" TargetMode="External"/><Relationship Id="rId6" Type="http://schemas.openxmlformats.org/officeDocument/2006/relationships/hyperlink" Target="https://drive.google.com/file/d/1uKpyvMv70w51RL2uahXcUT4AP07sDP73/view?usp=sharing" TargetMode="External"/><Relationship Id="rId7" Type="http://schemas.openxmlformats.org/officeDocument/2006/relationships/hyperlink" Target="https://drive.google.com/file/d/1B5m1LqhRh7b-g_ZqRM8SX_VngK081YLm/view?usp=sharing" TargetMode="External"/><Relationship Id="rId8" Type="http://schemas.openxmlformats.org/officeDocument/2006/relationships/hyperlink" Target="https://drive.google.com/file/d/1Zz0LveoBaAeZ0WouuWw69eYqVWQnuh5D/view?usp=sharing" TargetMode="External"/><Relationship Id="rId11" Type="http://schemas.openxmlformats.org/officeDocument/2006/relationships/hyperlink" Target="https://drive.google.com/file/d/1NsD3HEHgF_6I0ub9xra8FFNlCo3iO5_M/view?usp=sharing" TargetMode="External"/><Relationship Id="rId10" Type="http://schemas.openxmlformats.org/officeDocument/2006/relationships/hyperlink" Target="https://drive.google.com/file/d/154mNchJFPys4PcnFzO7Gb5r8xIcRftRE/view?usp=sharing" TargetMode="External"/><Relationship Id="rId13" Type="http://schemas.openxmlformats.org/officeDocument/2006/relationships/drawing" Target="../drawings/drawing7.xml"/><Relationship Id="rId12" Type="http://schemas.openxmlformats.org/officeDocument/2006/relationships/hyperlink" Target="https://drive.google.com/file/d/1M7fm8vh_KYnQmzprI4xH49dZALswaxvN/view?usp=sharing"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file/d/1mdH_7Ce0bgIj2LpVqX4mG6vw12fuHnfh/view?usp=sharing" TargetMode="External"/><Relationship Id="rId2" Type="http://schemas.openxmlformats.org/officeDocument/2006/relationships/hyperlink" Target="https://drive.google.com/file/d/1sQ3lugdXg8XbUzz43PcTlr_8MLtSvI6N/view?usp=sharing" TargetMode="External"/><Relationship Id="rId3" Type="http://schemas.openxmlformats.org/officeDocument/2006/relationships/hyperlink" Target="https://drive.google.com/file/d/195mS6PCc46RckwCDFWsXWuZYqN-wAmDB/view?usp=sharing" TargetMode="External"/><Relationship Id="rId4" Type="http://schemas.openxmlformats.org/officeDocument/2006/relationships/hyperlink" Target="https://drive.google.com/file/d/1DWXZKu-mFpuX5NgEBgI4cC0VbN63Uk-p/view?usp=sharing" TargetMode="External"/><Relationship Id="rId9" Type="http://schemas.openxmlformats.org/officeDocument/2006/relationships/hyperlink" Target="https://drive.google.com/file/d/1SUJx72cnn2D-4KC6wwZ27lKiYFElz97D/view?usp=sharing" TargetMode="External"/><Relationship Id="rId5" Type="http://schemas.openxmlformats.org/officeDocument/2006/relationships/hyperlink" Target="https://drive.google.com/file/d/1xaSdaZS9la5vbxz14GXG_6fVNDYuCUl0/view?usp=sharing" TargetMode="External"/><Relationship Id="rId6" Type="http://schemas.openxmlformats.org/officeDocument/2006/relationships/hyperlink" Target="https://drive.google.com/file/d/1nmZj2hNTdAilplKxDXXyA0dvr0OP-TOH/view?usp=sharing" TargetMode="External"/><Relationship Id="rId7" Type="http://schemas.openxmlformats.org/officeDocument/2006/relationships/hyperlink" Target="https://drive.google.com/file/d/12AXbnQfeL7IqoyxZNoFvO0Fq4SqYRTb4/view?usp=sharing" TargetMode="External"/><Relationship Id="rId8" Type="http://schemas.openxmlformats.org/officeDocument/2006/relationships/hyperlink" Target="https://drive.google.com/file/d/1QZKaRgeEL2V892cfncGTKz2B6xBE0u4R/view?usp=sharing" TargetMode="External"/><Relationship Id="rId11" Type="http://schemas.openxmlformats.org/officeDocument/2006/relationships/hyperlink" Target="https://drive.google.com/file/d/1atYrzSdiM9ZjGrMSrIeyrW2ZhNNyVntO/view?usp=sharing" TargetMode="External"/><Relationship Id="rId10" Type="http://schemas.openxmlformats.org/officeDocument/2006/relationships/hyperlink" Target="https://drive.google.com/file/d/1NjZCEI8hYdCLBO-LTzE8pAIZU0wh1_3S/view?usp=sharing" TargetMode="External"/><Relationship Id="rId1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0" Type="http://schemas.openxmlformats.org/officeDocument/2006/relationships/hyperlink" Target="https://drive.google.com/file/d/1fmKLJxTtT_jnpEizPuABODMStTa0bMlN/view?usp=sharing" TargetMode="External"/><Relationship Id="rId22" Type="http://schemas.openxmlformats.org/officeDocument/2006/relationships/hyperlink" Target="https://drive.google.com/file/d/114kT_Z23ukdF84eDPRmGtiZU-1DPYH_q/view?usp=sharing" TargetMode="External"/><Relationship Id="rId21" Type="http://schemas.openxmlformats.org/officeDocument/2006/relationships/hyperlink" Target="https://drive.google.com/file/d/1zOv7lU1DJKZAIZUhE2z-f5gyKv6tH_O5/view?usp=sharing" TargetMode="External"/><Relationship Id="rId24" Type="http://schemas.openxmlformats.org/officeDocument/2006/relationships/hyperlink" Target="https://drive.google.com/file/d/1P-fHt2kFj_QqIyO2OXxpjv48oXAAJSa6/view?usp=sharing" TargetMode="External"/><Relationship Id="rId23" Type="http://schemas.openxmlformats.org/officeDocument/2006/relationships/hyperlink" Target="https://drive.google.com/file/d/1mBGi2xAAXW5L3nVV-AOMuip2n7uOA-0O/view?usp=sharing" TargetMode="External"/><Relationship Id="rId1" Type="http://schemas.openxmlformats.org/officeDocument/2006/relationships/hyperlink" Target="https://drive.google.com/file/d/1-5dsVhK2EDU40RyfMbKQUhi_F-_-1cK9/view?usp=sharing" TargetMode="External"/><Relationship Id="rId2" Type="http://schemas.openxmlformats.org/officeDocument/2006/relationships/hyperlink" Target="https://drive.google.com/file/d/1pX16M_29qSLWOWMM3oEX0LQh8Qe-CSh2/view?usp=sharing" TargetMode="External"/><Relationship Id="rId3" Type="http://schemas.openxmlformats.org/officeDocument/2006/relationships/hyperlink" Target="https://drive.google.com/file/d/1JKX8u0ZX6zvPojOqdNRiWaMFdy36A-Ha/view?usp=sharing" TargetMode="External"/><Relationship Id="rId4" Type="http://schemas.openxmlformats.org/officeDocument/2006/relationships/hyperlink" Target="https://drive.google.com/file/d/1tCm0_uCueGCSras1JkOgZYRS5lxIfraz/view?usp=sharing" TargetMode="External"/><Relationship Id="rId9" Type="http://schemas.openxmlformats.org/officeDocument/2006/relationships/hyperlink" Target="https://drive.google.com/file/d/1sEB-8OVaK5-W1qOgLS1MDdBl_kub40JY/view?usp=sharing" TargetMode="External"/><Relationship Id="rId26" Type="http://schemas.openxmlformats.org/officeDocument/2006/relationships/hyperlink" Target="https://drive.google.com/file/d/1DiQ-P0iiFtBtHpmoZs8fLn_simGytOSQ/view?usp=sharing" TargetMode="External"/><Relationship Id="rId25" Type="http://schemas.openxmlformats.org/officeDocument/2006/relationships/hyperlink" Target="https://drive.google.com/file/d/1H74KLUxyKjIXxAVyro1olcdEHXBHEMeK/view?usp=sharing" TargetMode="External"/><Relationship Id="rId27" Type="http://schemas.openxmlformats.org/officeDocument/2006/relationships/drawing" Target="../drawings/drawing9.xml"/><Relationship Id="rId5" Type="http://schemas.openxmlformats.org/officeDocument/2006/relationships/hyperlink" Target="https://drive.google.com/file/d/12bo4s01x2t9UYbGNXFYclSjlajbMOtIU/view?usp=sharing" TargetMode="External"/><Relationship Id="rId6" Type="http://schemas.openxmlformats.org/officeDocument/2006/relationships/hyperlink" Target="https://drive.google.com/file/d/120T8rGfHZf9poeuyb2wXNTOcn4wEGd9i/view?usp=sharing" TargetMode="External"/><Relationship Id="rId7" Type="http://schemas.openxmlformats.org/officeDocument/2006/relationships/hyperlink" Target="https://drive.google.com/file/d/1pwqme95QXa9riO4BAtdLMLCAWKjNjNRT/view?usp=sharing" TargetMode="External"/><Relationship Id="rId8" Type="http://schemas.openxmlformats.org/officeDocument/2006/relationships/hyperlink" Target="https://drive.google.com/file/d/19I-fk5R_dTMw1FIjUMkFFOUlvlQSL6yv/view?usp=sharing" TargetMode="External"/><Relationship Id="rId11" Type="http://schemas.openxmlformats.org/officeDocument/2006/relationships/hyperlink" Target="https://drive.google.com/file/d/10_Xr6dQcW7CJj4-kWub9VLzILBC3vcPt/view?usp=sharing" TargetMode="External"/><Relationship Id="rId10" Type="http://schemas.openxmlformats.org/officeDocument/2006/relationships/hyperlink" Target="https://drive.google.com/file/d/1Z8o-2R7thyjJL7DK78TKvM51MolSFzq4/view?usp=sharing" TargetMode="External"/><Relationship Id="rId13" Type="http://schemas.openxmlformats.org/officeDocument/2006/relationships/hyperlink" Target="https://drive.google.com/file/d/1XlPLiSNv8Rnw4QXNkWYOwdaQEqTgJml3/view?usp=sharing" TargetMode="External"/><Relationship Id="rId12" Type="http://schemas.openxmlformats.org/officeDocument/2006/relationships/hyperlink" Target="https://drive.google.com/file/d/11T0vI5VaAHf4J2WFLidfsGZ_rhaCrQqw/view?usp=sharing" TargetMode="External"/><Relationship Id="rId15" Type="http://schemas.openxmlformats.org/officeDocument/2006/relationships/hyperlink" Target="https://drive.google.com/file/d/1dfngwGmGEG_1n-XF2-PoocDsLmPaFJ0e/view?usp=sharing" TargetMode="External"/><Relationship Id="rId14" Type="http://schemas.openxmlformats.org/officeDocument/2006/relationships/hyperlink" Target="https://drive.google.com/file/d/1cNUKxzD__ZrnwxZq0qerLSawesf2ZAkW/view?usp=sharing" TargetMode="External"/><Relationship Id="rId17" Type="http://schemas.openxmlformats.org/officeDocument/2006/relationships/hyperlink" Target="https://drive.google.com/file/d/1_XLLDWvglqWUfxY6Xoln0rjSCpWC2Wmt/view?usp=sharing" TargetMode="External"/><Relationship Id="rId16" Type="http://schemas.openxmlformats.org/officeDocument/2006/relationships/hyperlink" Target="https://drive.google.com/file/d/1ezfxJv8q6hHVrgmjwKaof6jpCQ0in3LL/view?usp=sharing" TargetMode="External"/><Relationship Id="rId19" Type="http://schemas.openxmlformats.org/officeDocument/2006/relationships/hyperlink" Target="https://drive.google.com/file/d/13uby75y59BVV6lJo5Q22kaVY2l9dYzWk/view?usp=sharing" TargetMode="External"/><Relationship Id="rId18" Type="http://schemas.openxmlformats.org/officeDocument/2006/relationships/hyperlink" Target="https://drive.google.com/file/d/1RvSQNhxnOflNhId2scyFYNR2DnDbG0FU/view?usp=sharing"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file/d/146W3vwdVturrTjMAHzXPhdsHr3sLCNvB/view?usp=sharing" TargetMode="External"/><Relationship Id="rId2" Type="http://schemas.openxmlformats.org/officeDocument/2006/relationships/hyperlink" Target="https://drive.google.com/file/d/1uasOQpolMpCsTOHJ-X30iHj4sIiLli1t/view?usp=sharing" TargetMode="External"/><Relationship Id="rId3" Type="http://schemas.openxmlformats.org/officeDocument/2006/relationships/hyperlink" Target="https://drive.google.com/file/d/1HplOpyhTNReG8kKub0aIlJxu4dz4MerC/view?usp=sharing" TargetMode="External"/><Relationship Id="rId4" Type="http://schemas.openxmlformats.org/officeDocument/2006/relationships/hyperlink" Target="https://drive.google.com/file/d/1t6rTVoN6O4t29o2cOGXNA5h2B7-Qs8CN/view?usp=sharing" TargetMode="External"/><Relationship Id="rId5" Type="http://schemas.openxmlformats.org/officeDocument/2006/relationships/hyperlink" Target="https://drive.google.com/file/d/1-L_Zbfd-DeO_Vd7F0R8ifq6zN7JbKsiA/view?usp=sharing" TargetMode="External"/><Relationship Id="rId6"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rive.google.com/file/d/1jlXE5kYhWSbc-6_J5-bsk-IYDqdnkxiH/view?usp=sharing" TargetMode="External"/><Relationship Id="rId2" Type="http://schemas.openxmlformats.org/officeDocument/2006/relationships/hyperlink" Target="https://drive.google.com/file/d/1jZ2TXWtI1yQsCnOrLQSpxUuoQH8ONaot/view?usp=sharing" TargetMode="External"/><Relationship Id="rId3" Type="http://schemas.openxmlformats.org/officeDocument/2006/relationships/hyperlink" Target="https://drive.google.com/file/d/1gCoPj59JDGJDGluneqMRAcTNKAMQOJ-j/view?usp=sharing" TargetMode="External"/><Relationship Id="rId4" Type="http://schemas.openxmlformats.org/officeDocument/2006/relationships/hyperlink" Target="https://drive.google.com/file/d/1GxvRWpYeqqKGhzPE1UM9Yv2iWHybl7gm/view?usp=sharing" TargetMode="External"/><Relationship Id="rId5" Type="http://schemas.openxmlformats.org/officeDocument/2006/relationships/hyperlink" Target="https://drive.google.com/file/d/1n0hyrr0ZpzticZZPQj9tNVWpmQXLspRf/view?usp=sharing" TargetMode="External"/><Relationship Id="rId6" Type="http://schemas.openxmlformats.org/officeDocument/2006/relationships/hyperlink" Target="https://drive.google.com/file/d/1UH0UmfDNP-oFsBXkezANLGyDbnIKgpY2/view?usp=sharing" TargetMode="External"/><Relationship Id="rId7" Type="http://schemas.openxmlformats.org/officeDocument/2006/relationships/hyperlink" Target="https://drive.google.com/file/d/1QhqkbP0ig1zVf1OMT5gemnmCTUrrDk9J/view?usp=sharing" TargetMode="External"/><Relationship Id="rId8"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file/d/1SqdCrHDdGgkUFhqiHDMRS3z7IFHGwUvq/view?usp=sharing" TargetMode="External"/><Relationship Id="rId2" Type="http://schemas.openxmlformats.org/officeDocument/2006/relationships/hyperlink" Target="https://drive.google.com/file/d/1bYib3_ZrvlkjSm7V1Naqim2ul3OL26VY/view?usp=sharing" TargetMode="External"/><Relationship Id="rId3" Type="http://schemas.openxmlformats.org/officeDocument/2006/relationships/hyperlink" Target="https://drive.google.com/file/d/1cljwEJjYmK4S_IgeinwRM8oiwNIws4zJ/view?usp=sharing" TargetMode="External"/><Relationship Id="rId4" Type="http://schemas.openxmlformats.org/officeDocument/2006/relationships/hyperlink" Target="https://drive.google.com/file/d/1EHoQAVSruwFPJ6IWwTejgVXE-y7TKMI_/view?usp=sharing" TargetMode="External"/><Relationship Id="rId5" Type="http://schemas.openxmlformats.org/officeDocument/2006/relationships/hyperlink" Target="https://drive.google.com/file/d/1L-jksJNcFlgcxSEus4fcmr9cqbAsn390/view?usp=sharing" TargetMode="External"/><Relationship Id="rId6"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rive.google.com/file/d/1c5vDkdsIKEjofa6xkbhognvKnCHIr3hU/view?usp=sharing" TargetMode="External"/><Relationship Id="rId2" Type="http://schemas.openxmlformats.org/officeDocument/2006/relationships/hyperlink" Target="https://drive.google.com/file/d/1Ed5MVkCpCJUmFP-feRfT2Qhn_KGBBu4t/view?usp=sharing" TargetMode="External"/><Relationship Id="rId3" Type="http://schemas.openxmlformats.org/officeDocument/2006/relationships/hyperlink" Target="https://drive.google.com/file/d/1cU8qxOS0ENfHWIB-Zu-NYLWSOsbZFyGP/view?usp=sharing" TargetMode="External"/><Relationship Id="rId4" Type="http://schemas.openxmlformats.org/officeDocument/2006/relationships/hyperlink" Target="https://drive.google.com/file/d/15RW2O1IQvnZTGQqaLdF1NUtFg4Vs6mnt/view?usp=sharing" TargetMode="External"/><Relationship Id="rId9" Type="http://schemas.openxmlformats.org/officeDocument/2006/relationships/hyperlink" Target="https://drive.google.com/file/d/16_HhoNIcaoN9VNAts44VlindQFwMzGS6/view?usp=sharing" TargetMode="External"/><Relationship Id="rId5" Type="http://schemas.openxmlformats.org/officeDocument/2006/relationships/hyperlink" Target="https://drive.google.com/file/d/1h0Iy5a7CTjL2ht_eJ3Y_Ibq0NGQhRFhS/view?usp=sharing" TargetMode="External"/><Relationship Id="rId6" Type="http://schemas.openxmlformats.org/officeDocument/2006/relationships/hyperlink" Target="https://drive.google.com/file/d/1TBfwt01cfWM-RPQwt_k_Olakwa-lakNH/view?usp=sharing" TargetMode="External"/><Relationship Id="rId7" Type="http://schemas.openxmlformats.org/officeDocument/2006/relationships/hyperlink" Target="https://drive.google.com/file/d/1KMBxJ6MdXvUiT8cYvM1Byat7Wjt6W3A8/view?usp=sharing" TargetMode="External"/><Relationship Id="rId8" Type="http://schemas.openxmlformats.org/officeDocument/2006/relationships/hyperlink" Target="https://drive.google.com/file/d/13sT5bEB-L27Eh85ZjKtMOjsnW2eeR1zk/view?usp=sharing" TargetMode="External"/><Relationship Id="rId11" Type="http://schemas.openxmlformats.org/officeDocument/2006/relationships/hyperlink" Target="https://drive.google.com/file/d/1mAjhGXIx2XYHL2ETWpE6Ims9dHS2wiuE/view?usp=sharing" TargetMode="External"/><Relationship Id="rId10" Type="http://schemas.openxmlformats.org/officeDocument/2006/relationships/hyperlink" Target="https://drive.google.com/file/d/1iTLTt2ceiJvnf4rSklSsnvAMQd5Y_XXh/view?usp=sharing" TargetMode="External"/><Relationship Id="rId13" Type="http://schemas.openxmlformats.org/officeDocument/2006/relationships/hyperlink" Target="https://drive.google.com/file/d/1gyUuxQG1FjRMZf6VcMbzyddIeQpTH9Ij/view?usp=sharing" TargetMode="External"/><Relationship Id="rId12" Type="http://schemas.openxmlformats.org/officeDocument/2006/relationships/hyperlink" Target="https://drive.google.com/file/d/1IQQsL3XN7TZPH3wisU1gZFVkTWjPm8Df/view?usp=sharing" TargetMode="External"/><Relationship Id="rId14"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drive.google.com/file/d/1ESs9XV02MjKKgk4R1YT0CCBDhJXipPFy/view?usp=sharing" TargetMode="External"/><Relationship Id="rId2" Type="http://schemas.openxmlformats.org/officeDocument/2006/relationships/hyperlink" Target="https://drive.google.com/file/d/1YKgzijVeNm2twEf7FfDjRik0VXthTg6H/view?usp=sharing" TargetMode="External"/><Relationship Id="rId3" Type="http://schemas.openxmlformats.org/officeDocument/2006/relationships/hyperlink" Target="https://drive.google.com/file/d/1o_3VOoaT5V0YG7eZGq8GDQ45cAR7yPRt/view?usp=sharing" TargetMode="External"/><Relationship Id="rId4" Type="http://schemas.openxmlformats.org/officeDocument/2006/relationships/hyperlink" Target="https://drive.google.com/file/d/1CyQZmfEbubyNlAfkpX3nILayveWpt5cm/view?usp=sharing" TargetMode="External"/><Relationship Id="rId5"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drive.google.com/file/d/1i-LC7S-EYs1hOdGXz-12bQeU3HHTyBzV/view?usp=sharing" TargetMode="External"/><Relationship Id="rId2" Type="http://schemas.openxmlformats.org/officeDocument/2006/relationships/hyperlink" Target="https://drive.google.com/file/d/1KpI3dAeq7i2plb7X7SLqZKFP8HqOlD0I/view?usp=sharing" TargetMode="External"/><Relationship Id="rId3" Type="http://schemas.openxmlformats.org/officeDocument/2006/relationships/hyperlink" Target="https://drive.google.com/file/d/1qQqMbSk_5bjaCE43Y_TfyhkLWageSqPX/view?usp=sharing" TargetMode="External"/><Relationship Id="rId4" Type="http://schemas.openxmlformats.org/officeDocument/2006/relationships/hyperlink" Target="https://drive.google.com/file/d/1Ugtk1enIk33GVVDcwmeY_0SBAEbFdMBH/view?usp=sharing" TargetMode="External"/><Relationship Id="rId5" Type="http://schemas.openxmlformats.org/officeDocument/2006/relationships/hyperlink" Target="https://drive.google.com/file/d/1h8u0Q7hKq3DjIi6HAnsNt38xKB1X7CUP/view?usp=sharing" TargetMode="External"/><Relationship Id="rId6"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drive.google.com/file/d/1s1fLEKJeT6FoYd7L6cJxavxvfoHwHTFM/view?usp=sharing" TargetMode="External"/><Relationship Id="rId2" Type="http://schemas.openxmlformats.org/officeDocument/2006/relationships/hyperlink" Target="https://drive.google.com/file/d/1Y9-2FIUQ9oXZvxGtbIRo42TIfsXPcEe6/view?usp=sharing" TargetMode="External"/><Relationship Id="rId3" Type="http://schemas.openxmlformats.org/officeDocument/2006/relationships/hyperlink" Target="https://drive.google.com/file/d/1oxpCL2XSlKt35mnM2IdNAg4pF050P-qt/view?usp=sharing" TargetMode="External"/><Relationship Id="rId4" Type="http://schemas.openxmlformats.org/officeDocument/2006/relationships/hyperlink" Target="https://drive.google.com/file/d/1zfCpM-nJG6BZTgTXBBGxz5I3m0cRIECr/view?usp=sharing" TargetMode="External"/><Relationship Id="rId9" Type="http://schemas.openxmlformats.org/officeDocument/2006/relationships/hyperlink" Target="https://drive.google.com/file/d/1BYnsjCGl_aMbXdepqbvGnEYW5njJAFco/view?usp=sharing" TargetMode="External"/><Relationship Id="rId5" Type="http://schemas.openxmlformats.org/officeDocument/2006/relationships/hyperlink" Target="https://drive.google.com/file/d/1NUP3M-LUyTmnj8H9Tqq38oYFwRCeizfW/view?usp=sharing" TargetMode="External"/><Relationship Id="rId6" Type="http://schemas.openxmlformats.org/officeDocument/2006/relationships/hyperlink" Target="https://drive.google.com/file/d/17-lXEojVCCs6k2TH_Zw_er0W5VDGAcOr/view?usp=sharing" TargetMode="External"/><Relationship Id="rId7" Type="http://schemas.openxmlformats.org/officeDocument/2006/relationships/hyperlink" Target="https://drive.google.com/file/d/140hZuQlCmxcWkl7e6M6YDhXuyQAhOkYU/view?usp=sharing" TargetMode="External"/><Relationship Id="rId8" Type="http://schemas.openxmlformats.org/officeDocument/2006/relationships/hyperlink" Target="https://drive.google.com/file/d/1N-rrQx0nTqHbZIqTufzXD4xtdpDP96-v/view?usp=sharing" TargetMode="External"/><Relationship Id="rId11" Type="http://schemas.openxmlformats.org/officeDocument/2006/relationships/hyperlink" Target="https://drive.google.com/file/d/16un0itONLbmeLGUxfiLMy3qqTPQjPlvG/view?usp=sharing" TargetMode="External"/><Relationship Id="rId10" Type="http://schemas.openxmlformats.org/officeDocument/2006/relationships/hyperlink" Target="https://drive.google.com/file/d/1VsSPsf1njfbIDinri5WjRW00x0Tqpo_w/view?usp=sharing" TargetMode="External"/><Relationship Id="rId1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drive.google.com/file/d/122q84zREjlGuf4gHSRWdtH555xGBjla5/view?usp=sharing" TargetMode="External"/><Relationship Id="rId2" Type="http://schemas.openxmlformats.org/officeDocument/2006/relationships/hyperlink" Target="https://drive.google.com/file/d/1dhgHmzPIMF58iUSW8N0-sMCM91ZkXsqw/view?usp=sharing" TargetMode="External"/><Relationship Id="rId3" Type="http://schemas.openxmlformats.org/officeDocument/2006/relationships/hyperlink" Target="https://drive.google.com/file/d/1XIndl5RN9pEaTcFbl0rK1A9mXLSeyTu8/view?usp=sharing" TargetMode="External"/><Relationship Id="rId4" Type="http://schemas.openxmlformats.org/officeDocument/2006/relationships/hyperlink" Target="https://drive.google.com/file/d/1KCbyO4zac7Kr2ecMZkT7ma6CmB6ek2JN/view?usp=sharing" TargetMode="External"/><Relationship Id="rId5"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0"/>
    <col customWidth="1" min="2" max="2" width="14.13"/>
    <col customWidth="1" min="3" max="3" width="9.0"/>
    <col customWidth="1" min="4" max="4" width="29.5"/>
    <col customWidth="1" min="5" max="5" width="54.13"/>
    <col customWidth="1" min="6" max="6" width="23.88"/>
    <col customWidth="1" min="7" max="24" width="9.0"/>
  </cols>
  <sheetData>
    <row r="1" ht="13.5" customHeight="1">
      <c r="A1" s="1"/>
      <c r="B1" s="1"/>
      <c r="C1" s="1"/>
      <c r="D1" s="1"/>
      <c r="E1" s="1"/>
      <c r="F1" s="1"/>
      <c r="G1" s="1"/>
      <c r="H1" s="1"/>
      <c r="I1" s="1"/>
      <c r="J1" s="1"/>
      <c r="K1" s="1"/>
      <c r="L1" s="1"/>
      <c r="M1" s="1"/>
      <c r="N1" s="1"/>
      <c r="O1" s="1"/>
      <c r="P1" s="1"/>
      <c r="Q1" s="1"/>
      <c r="R1" s="1"/>
      <c r="S1" s="1"/>
      <c r="T1" s="1"/>
      <c r="U1" s="1"/>
      <c r="V1" s="1"/>
      <c r="W1" s="1"/>
      <c r="X1" s="1"/>
    </row>
    <row r="2" ht="13.5" customHeight="1">
      <c r="A2" s="4"/>
      <c r="B2" s="8" t="s">
        <v>3</v>
      </c>
      <c r="C2" s="4"/>
      <c r="D2" s="4"/>
      <c r="E2" s="4"/>
      <c r="F2" s="4"/>
      <c r="G2" s="1"/>
      <c r="H2" s="1"/>
      <c r="I2" s="1"/>
      <c r="J2" s="1"/>
      <c r="K2" s="1"/>
      <c r="L2" s="1"/>
      <c r="M2" s="1"/>
      <c r="N2" s="1"/>
      <c r="O2" s="1"/>
      <c r="P2" s="1"/>
      <c r="Q2" s="1"/>
      <c r="R2" s="1"/>
      <c r="S2" s="1"/>
      <c r="T2" s="1"/>
      <c r="U2" s="1"/>
      <c r="V2" s="1"/>
      <c r="W2" s="1"/>
      <c r="X2" s="1"/>
    </row>
    <row r="3" ht="13.5" customHeight="1">
      <c r="A3" s="4"/>
      <c r="B3" s="12" t="s">
        <v>4</v>
      </c>
      <c r="C3" s="14" t="s">
        <v>6</v>
      </c>
      <c r="D3" s="16"/>
      <c r="E3" s="4"/>
      <c r="F3" s="4"/>
      <c r="G3" s="1"/>
      <c r="H3" s="1"/>
      <c r="I3" s="1"/>
      <c r="J3" s="1"/>
      <c r="K3" s="1"/>
      <c r="L3" s="1"/>
      <c r="M3" s="1"/>
      <c r="N3" s="1"/>
      <c r="O3" s="1"/>
      <c r="P3" s="1"/>
      <c r="Q3" s="1"/>
      <c r="R3" s="1"/>
      <c r="S3" s="1"/>
      <c r="T3" s="1"/>
      <c r="U3" s="1"/>
      <c r="V3" s="1"/>
      <c r="W3" s="1"/>
      <c r="X3" s="1"/>
    </row>
    <row r="4" ht="13.5" customHeight="1">
      <c r="A4" s="4"/>
      <c r="B4" s="12" t="s">
        <v>10</v>
      </c>
      <c r="C4" s="20">
        <v>46257.0</v>
      </c>
      <c r="D4" s="21"/>
      <c r="E4" s="4"/>
      <c r="F4" s="4"/>
      <c r="G4" s="1"/>
      <c r="H4" s="1"/>
      <c r="I4" s="1"/>
      <c r="J4" s="1"/>
      <c r="K4" s="1"/>
      <c r="L4" s="1"/>
      <c r="M4" s="1"/>
      <c r="N4" s="1"/>
      <c r="O4" s="1"/>
      <c r="P4" s="1"/>
      <c r="Q4" s="1"/>
      <c r="R4" s="1"/>
      <c r="S4" s="1"/>
      <c r="T4" s="1"/>
      <c r="U4" s="1"/>
      <c r="V4" s="1"/>
      <c r="W4" s="1"/>
      <c r="X4" s="1"/>
    </row>
    <row r="5" ht="13.5" customHeight="1">
      <c r="A5" s="4"/>
      <c r="B5" s="12"/>
      <c r="C5" s="16"/>
      <c r="D5" s="16"/>
      <c r="E5" s="4"/>
      <c r="F5" s="4"/>
      <c r="G5" s="1"/>
      <c r="H5" s="1"/>
      <c r="I5" s="1"/>
      <c r="J5" s="1"/>
      <c r="K5" s="1"/>
      <c r="L5" s="1"/>
      <c r="M5" s="1"/>
      <c r="N5" s="1"/>
      <c r="O5" s="1"/>
      <c r="P5" s="1"/>
      <c r="Q5" s="1"/>
      <c r="R5" s="1"/>
      <c r="S5" s="1"/>
      <c r="T5" s="1"/>
      <c r="U5" s="1"/>
      <c r="V5" s="1"/>
      <c r="W5" s="1"/>
      <c r="X5" s="1"/>
    </row>
    <row r="6" ht="14.25" customHeight="1">
      <c r="A6" s="4"/>
      <c r="B6" s="12" t="s">
        <v>18</v>
      </c>
      <c r="C6" s="28" t="s">
        <v>20</v>
      </c>
      <c r="D6" s="31"/>
      <c r="E6" s="34"/>
      <c r="F6" s="4"/>
      <c r="G6" s="1"/>
      <c r="H6" s="1"/>
      <c r="I6" s="1"/>
      <c r="J6" s="1"/>
      <c r="K6" s="1"/>
      <c r="L6" s="1"/>
      <c r="M6" s="1"/>
      <c r="N6" s="1"/>
      <c r="O6" s="1"/>
      <c r="P6" s="1"/>
      <c r="Q6" s="1"/>
      <c r="R6" s="1"/>
      <c r="S6" s="1"/>
      <c r="T6" s="1"/>
      <c r="U6" s="1"/>
      <c r="V6" s="1"/>
      <c r="W6" s="1"/>
      <c r="X6" s="1"/>
    </row>
    <row r="7" ht="13.5" customHeight="1">
      <c r="A7" s="4"/>
      <c r="B7" s="12" t="s">
        <v>28</v>
      </c>
      <c r="C7" s="28" t="s">
        <v>29</v>
      </c>
      <c r="D7" s="31"/>
      <c r="E7" s="34"/>
      <c r="F7" s="4"/>
      <c r="G7" s="1"/>
      <c r="H7" s="1"/>
      <c r="I7" s="1"/>
      <c r="J7" s="1"/>
      <c r="K7" s="1"/>
      <c r="L7" s="1"/>
      <c r="M7" s="1"/>
      <c r="N7" s="1"/>
      <c r="O7" s="1"/>
      <c r="P7" s="1"/>
      <c r="Q7" s="1"/>
      <c r="R7" s="1"/>
      <c r="S7" s="1"/>
      <c r="T7" s="1"/>
      <c r="U7" s="1"/>
      <c r="V7" s="1"/>
      <c r="W7" s="1"/>
      <c r="X7" s="1"/>
    </row>
    <row r="8" ht="13.5" customHeight="1">
      <c r="A8" s="4"/>
      <c r="B8" s="12"/>
      <c r="C8" s="4"/>
      <c r="D8" s="4"/>
      <c r="E8" s="4"/>
      <c r="F8" s="4"/>
      <c r="G8" s="1"/>
      <c r="H8" s="1"/>
      <c r="I8" s="1"/>
      <c r="J8" s="1"/>
      <c r="K8" s="1"/>
      <c r="L8" s="1"/>
      <c r="M8" s="1"/>
      <c r="N8" s="1"/>
      <c r="O8" s="1"/>
      <c r="P8" s="1"/>
      <c r="Q8" s="1"/>
      <c r="R8" s="1"/>
      <c r="S8" s="1"/>
      <c r="T8" s="1"/>
      <c r="U8" s="1"/>
      <c r="V8" s="1"/>
      <c r="W8" s="1"/>
      <c r="X8" s="1"/>
    </row>
    <row r="9" ht="13.5" customHeight="1">
      <c r="A9" s="4"/>
      <c r="B9" s="7"/>
      <c r="C9" s="7"/>
      <c r="D9" s="7"/>
      <c r="E9" s="7"/>
      <c r="F9" s="4"/>
      <c r="G9" s="1"/>
      <c r="H9" s="1"/>
      <c r="I9" s="1"/>
      <c r="J9" s="1"/>
      <c r="K9" s="1"/>
      <c r="L9" s="1"/>
      <c r="M9" s="1"/>
      <c r="N9" s="1"/>
      <c r="O9" s="1"/>
      <c r="P9" s="1"/>
      <c r="Q9" s="1"/>
      <c r="R9" s="1"/>
      <c r="S9" s="1"/>
      <c r="T9" s="1"/>
      <c r="U9" s="1"/>
      <c r="V9" s="1"/>
      <c r="W9" s="1"/>
      <c r="X9" s="1"/>
    </row>
    <row r="10" ht="13.5" customHeight="1">
      <c r="A10" s="1"/>
      <c r="B10" s="17" t="s">
        <v>30</v>
      </c>
      <c r="C10" s="1"/>
      <c r="D10" s="1"/>
      <c r="E10" s="1"/>
      <c r="F10" s="1"/>
      <c r="G10" s="1"/>
      <c r="H10" s="1"/>
      <c r="I10" s="1"/>
      <c r="J10" s="1"/>
      <c r="K10" s="1"/>
      <c r="L10" s="1"/>
      <c r="M10" s="1"/>
      <c r="N10" s="1"/>
      <c r="O10" s="1"/>
      <c r="P10" s="1"/>
      <c r="Q10" s="1"/>
      <c r="R10" s="1"/>
      <c r="S10" s="1"/>
      <c r="T10" s="1"/>
      <c r="U10" s="1"/>
      <c r="V10" s="1"/>
      <c r="W10" s="1"/>
      <c r="X10" s="1"/>
    </row>
    <row r="11" ht="26.25" customHeight="1">
      <c r="A11" s="32"/>
      <c r="B11" s="41" t="s">
        <v>31</v>
      </c>
      <c r="C11" s="42" t="s">
        <v>32</v>
      </c>
      <c r="D11" s="42" t="s">
        <v>33</v>
      </c>
      <c r="E11" s="42" t="s">
        <v>34</v>
      </c>
      <c r="F11" s="42" t="s">
        <v>35</v>
      </c>
      <c r="G11" s="32"/>
      <c r="H11" s="32"/>
      <c r="I11" s="32"/>
      <c r="J11" s="32"/>
      <c r="K11" s="32"/>
      <c r="L11" s="32"/>
      <c r="M11" s="32"/>
      <c r="N11" s="32"/>
      <c r="O11" s="32"/>
      <c r="P11" s="32"/>
      <c r="Q11" s="32"/>
      <c r="R11" s="32"/>
      <c r="S11" s="32"/>
      <c r="T11" s="32"/>
      <c r="U11" s="32"/>
      <c r="V11" s="32"/>
      <c r="W11" s="32"/>
      <c r="X11" s="32"/>
    </row>
    <row r="12" ht="54.0" customHeight="1">
      <c r="A12" s="32"/>
      <c r="B12" s="45">
        <v>46213.0</v>
      </c>
      <c r="C12" s="47" t="s">
        <v>6</v>
      </c>
      <c r="D12" s="48" t="s">
        <v>36</v>
      </c>
      <c r="E12" s="50" t="s">
        <v>37</v>
      </c>
      <c r="F12" s="48" t="s">
        <v>38</v>
      </c>
      <c r="G12" s="32"/>
      <c r="H12" s="32"/>
      <c r="I12" s="32"/>
      <c r="J12" s="32"/>
      <c r="K12" s="32"/>
      <c r="L12" s="32"/>
      <c r="M12" s="32"/>
      <c r="N12" s="32"/>
      <c r="O12" s="32"/>
      <c r="P12" s="32"/>
      <c r="Q12" s="32"/>
      <c r="R12" s="32"/>
      <c r="S12" s="32"/>
      <c r="T12" s="32"/>
      <c r="U12" s="32"/>
      <c r="V12" s="32"/>
      <c r="W12" s="32"/>
      <c r="X12" s="32"/>
    </row>
    <row r="13" ht="45.75" customHeight="1">
      <c r="A13" s="32"/>
      <c r="B13" s="45">
        <v>46218.0</v>
      </c>
      <c r="C13" s="47" t="s">
        <v>39</v>
      </c>
      <c r="D13" s="48" t="s">
        <v>40</v>
      </c>
      <c r="E13" s="50" t="s">
        <v>41</v>
      </c>
      <c r="F13" s="48" t="s">
        <v>38</v>
      </c>
      <c r="G13" s="32"/>
      <c r="H13" s="32"/>
      <c r="I13" s="32"/>
      <c r="J13" s="32"/>
      <c r="K13" s="32"/>
      <c r="L13" s="32"/>
      <c r="M13" s="32"/>
      <c r="N13" s="32"/>
      <c r="O13" s="32"/>
      <c r="P13" s="32"/>
      <c r="Q13" s="32"/>
      <c r="R13" s="32"/>
      <c r="S13" s="32"/>
      <c r="T13" s="32"/>
      <c r="U13" s="32"/>
      <c r="V13" s="32"/>
      <c r="W13" s="32"/>
      <c r="X13" s="32"/>
    </row>
    <row r="14" ht="36.75" customHeight="1">
      <c r="A14" s="32"/>
      <c r="B14" s="45">
        <v>46219.0</v>
      </c>
      <c r="C14" s="47" t="s">
        <v>42</v>
      </c>
      <c r="D14" s="48" t="s">
        <v>40</v>
      </c>
      <c r="E14" s="50" t="s">
        <v>43</v>
      </c>
      <c r="F14" s="48" t="s">
        <v>38</v>
      </c>
      <c r="G14" s="32"/>
      <c r="H14" s="32"/>
      <c r="I14" s="32"/>
      <c r="J14" s="32"/>
      <c r="K14" s="32"/>
      <c r="L14" s="32"/>
      <c r="M14" s="32"/>
      <c r="N14" s="32"/>
      <c r="O14" s="32"/>
      <c r="P14" s="32"/>
      <c r="Q14" s="32"/>
      <c r="R14" s="32"/>
      <c r="S14" s="32"/>
      <c r="T14" s="32"/>
      <c r="U14" s="32"/>
      <c r="V14" s="32"/>
      <c r="W14" s="32"/>
      <c r="X14" s="32"/>
    </row>
    <row r="15" ht="43.5" customHeight="1">
      <c r="A15" s="32"/>
      <c r="B15" s="45">
        <v>46226.0</v>
      </c>
      <c r="C15" s="47" t="s">
        <v>44</v>
      </c>
      <c r="D15" s="48" t="s">
        <v>45</v>
      </c>
      <c r="E15" s="50" t="s">
        <v>46</v>
      </c>
      <c r="F15" s="48" t="s">
        <v>38</v>
      </c>
      <c r="G15" s="32"/>
      <c r="H15" s="32"/>
      <c r="I15" s="32"/>
      <c r="J15" s="32"/>
      <c r="K15" s="32"/>
      <c r="L15" s="32"/>
      <c r="M15" s="32"/>
      <c r="N15" s="32"/>
      <c r="O15" s="32"/>
      <c r="P15" s="32"/>
      <c r="Q15" s="32"/>
      <c r="R15" s="32"/>
      <c r="S15" s="32"/>
      <c r="T15" s="32"/>
      <c r="U15" s="32"/>
      <c r="V15" s="32"/>
      <c r="W15" s="32"/>
      <c r="X15" s="32"/>
    </row>
    <row r="16" ht="54.75" customHeight="1">
      <c r="A16" s="53"/>
      <c r="B16" s="45">
        <v>46232.0</v>
      </c>
      <c r="C16" s="47" t="s">
        <v>48</v>
      </c>
      <c r="D16" s="48" t="s">
        <v>49</v>
      </c>
      <c r="E16" s="50" t="s">
        <v>50</v>
      </c>
      <c r="F16" s="48" t="s">
        <v>38</v>
      </c>
      <c r="G16" s="53"/>
      <c r="H16" s="53"/>
      <c r="I16" s="53"/>
      <c r="J16" s="53"/>
      <c r="K16" s="53"/>
      <c r="L16" s="53"/>
      <c r="M16" s="53"/>
      <c r="N16" s="53"/>
      <c r="O16" s="53"/>
      <c r="P16" s="53"/>
      <c r="Q16" s="53"/>
      <c r="R16" s="53"/>
      <c r="S16" s="53"/>
      <c r="T16" s="53"/>
      <c r="U16" s="53"/>
      <c r="V16" s="53"/>
      <c r="W16" s="53"/>
      <c r="X16" s="53"/>
    </row>
    <row r="17" ht="55.5" customHeight="1">
      <c r="A17" s="53"/>
      <c r="B17" s="45">
        <v>46233.0</v>
      </c>
      <c r="C17" s="47" t="s">
        <v>51</v>
      </c>
      <c r="D17" s="48" t="s">
        <v>52</v>
      </c>
      <c r="E17" s="50" t="s">
        <v>53</v>
      </c>
      <c r="F17" s="48" t="s">
        <v>38</v>
      </c>
      <c r="G17" s="53"/>
      <c r="H17" s="53"/>
      <c r="I17" s="53"/>
      <c r="J17" s="53"/>
      <c r="K17" s="53"/>
      <c r="L17" s="53"/>
      <c r="M17" s="53"/>
      <c r="N17" s="53"/>
      <c r="O17" s="53"/>
      <c r="P17" s="53"/>
      <c r="Q17" s="53"/>
      <c r="R17" s="53"/>
      <c r="S17" s="53"/>
      <c r="T17" s="53"/>
      <c r="U17" s="53"/>
      <c r="V17" s="53"/>
      <c r="W17" s="53"/>
      <c r="X17" s="53"/>
    </row>
    <row r="18" ht="35.25" customHeight="1">
      <c r="A18" s="32"/>
      <c r="B18" s="45">
        <v>46234.0</v>
      </c>
      <c r="C18" s="47" t="s">
        <v>54</v>
      </c>
      <c r="D18" s="48" t="s">
        <v>55</v>
      </c>
      <c r="E18" s="50" t="s">
        <v>56</v>
      </c>
      <c r="F18" s="48" t="s">
        <v>38</v>
      </c>
      <c r="G18" s="32"/>
      <c r="H18" s="32"/>
      <c r="I18" s="32"/>
      <c r="J18" s="32"/>
      <c r="K18" s="32"/>
      <c r="L18" s="32"/>
      <c r="M18" s="32"/>
      <c r="N18" s="32"/>
      <c r="O18" s="32"/>
      <c r="P18" s="32"/>
      <c r="Q18" s="32"/>
      <c r="R18" s="32"/>
      <c r="S18" s="32"/>
      <c r="T18" s="32"/>
      <c r="U18" s="32"/>
      <c r="V18" s="32"/>
      <c r="W18" s="32"/>
      <c r="X18" s="32"/>
    </row>
    <row r="19" ht="52.5" customHeight="1">
      <c r="A19" s="32"/>
      <c r="B19" s="45">
        <v>46240.0</v>
      </c>
      <c r="C19" s="47" t="s">
        <v>57</v>
      </c>
      <c r="D19" s="48" t="s">
        <v>58</v>
      </c>
      <c r="E19" s="50" t="s">
        <v>59</v>
      </c>
      <c r="F19" s="48" t="s">
        <v>38</v>
      </c>
      <c r="G19" s="32"/>
      <c r="H19" s="32"/>
      <c r="I19" s="32"/>
      <c r="J19" s="32"/>
      <c r="K19" s="32"/>
      <c r="L19" s="32"/>
      <c r="M19" s="32"/>
      <c r="N19" s="32"/>
      <c r="O19" s="32"/>
      <c r="P19" s="32"/>
      <c r="Q19" s="32"/>
      <c r="R19" s="32"/>
      <c r="S19" s="32"/>
      <c r="T19" s="32"/>
      <c r="U19" s="32"/>
      <c r="V19" s="32"/>
      <c r="W19" s="32"/>
      <c r="X19" s="32"/>
    </row>
    <row r="20" ht="42.75" customHeight="1">
      <c r="A20" s="32"/>
      <c r="B20" s="45">
        <v>46241.0</v>
      </c>
      <c r="C20" s="47" t="s">
        <v>61</v>
      </c>
      <c r="D20" s="48" t="s">
        <v>58</v>
      </c>
      <c r="E20" s="50" t="s">
        <v>62</v>
      </c>
      <c r="F20" s="48" t="s">
        <v>38</v>
      </c>
      <c r="G20" s="32"/>
      <c r="H20" s="32"/>
      <c r="I20" s="32"/>
      <c r="J20" s="32"/>
      <c r="K20" s="32"/>
      <c r="L20" s="32"/>
      <c r="M20" s="32"/>
      <c r="N20" s="32"/>
      <c r="O20" s="32"/>
      <c r="P20" s="32"/>
      <c r="Q20" s="32"/>
      <c r="R20" s="32"/>
      <c r="S20" s="32"/>
      <c r="T20" s="32"/>
      <c r="U20" s="32"/>
      <c r="V20" s="32"/>
      <c r="W20" s="32"/>
      <c r="X20" s="32"/>
    </row>
    <row r="21" ht="47.25" customHeight="1">
      <c r="A21" s="32"/>
      <c r="B21" s="45">
        <v>46242.0</v>
      </c>
      <c r="C21" s="47" t="s">
        <v>64</v>
      </c>
      <c r="D21" s="48" t="s">
        <v>58</v>
      </c>
      <c r="E21" s="50" t="s">
        <v>65</v>
      </c>
      <c r="F21" s="48" t="s">
        <v>38</v>
      </c>
      <c r="G21" s="32"/>
      <c r="H21" s="32"/>
      <c r="I21" s="32"/>
      <c r="J21" s="32"/>
      <c r="K21" s="32"/>
      <c r="L21" s="32"/>
      <c r="M21" s="32"/>
      <c r="N21" s="32"/>
      <c r="O21" s="32"/>
      <c r="P21" s="32"/>
      <c r="Q21" s="32"/>
      <c r="R21" s="32"/>
      <c r="S21" s="32"/>
      <c r="T21" s="32"/>
      <c r="U21" s="32"/>
      <c r="V21" s="32"/>
      <c r="W21" s="32"/>
      <c r="X21" s="32"/>
    </row>
    <row r="22" ht="44.25" customHeight="1">
      <c r="A22" s="32"/>
      <c r="B22" s="45">
        <v>46245.0</v>
      </c>
      <c r="C22" s="47" t="s">
        <v>66</v>
      </c>
      <c r="D22" s="48" t="s">
        <v>67</v>
      </c>
      <c r="E22" s="50" t="s">
        <v>68</v>
      </c>
      <c r="F22" s="48" t="s">
        <v>38</v>
      </c>
      <c r="G22" s="32"/>
      <c r="H22" s="32"/>
      <c r="I22" s="32"/>
      <c r="J22" s="32"/>
      <c r="K22" s="32"/>
      <c r="L22" s="32"/>
      <c r="M22" s="32"/>
      <c r="N22" s="32"/>
      <c r="O22" s="32"/>
      <c r="P22" s="32"/>
      <c r="Q22" s="32"/>
      <c r="R22" s="32"/>
      <c r="S22" s="32"/>
      <c r="T22" s="32"/>
      <c r="U22" s="32"/>
      <c r="V22" s="32"/>
      <c r="W22" s="32"/>
      <c r="X22" s="32"/>
    </row>
    <row r="23" ht="41.25" customHeight="1">
      <c r="A23" s="32"/>
      <c r="B23" s="45">
        <v>46246.0</v>
      </c>
      <c r="C23" s="47" t="s">
        <v>70</v>
      </c>
      <c r="D23" s="48" t="s">
        <v>71</v>
      </c>
      <c r="E23" s="50" t="s">
        <v>73</v>
      </c>
      <c r="F23" s="48" t="s">
        <v>38</v>
      </c>
      <c r="G23" s="32"/>
      <c r="H23" s="32"/>
      <c r="I23" s="32"/>
      <c r="J23" s="32"/>
      <c r="K23" s="32"/>
      <c r="L23" s="32"/>
      <c r="M23" s="32"/>
      <c r="N23" s="32"/>
      <c r="O23" s="32"/>
      <c r="P23" s="32"/>
      <c r="Q23" s="32"/>
      <c r="R23" s="32"/>
      <c r="S23" s="32"/>
      <c r="T23" s="32"/>
      <c r="U23" s="32"/>
      <c r="V23" s="32"/>
      <c r="W23" s="32"/>
      <c r="X23" s="32"/>
    </row>
    <row r="24" ht="51.0" customHeight="1">
      <c r="A24" s="32"/>
      <c r="B24" s="45">
        <v>46247.0</v>
      </c>
      <c r="C24" s="47" t="s">
        <v>75</v>
      </c>
      <c r="D24" s="48" t="s">
        <v>76</v>
      </c>
      <c r="E24" s="50" t="s">
        <v>77</v>
      </c>
      <c r="F24" s="48" t="s">
        <v>38</v>
      </c>
      <c r="G24" s="32"/>
      <c r="H24" s="32"/>
      <c r="I24" s="32"/>
      <c r="J24" s="32"/>
      <c r="K24" s="32"/>
      <c r="L24" s="32"/>
      <c r="M24" s="32"/>
      <c r="N24" s="32"/>
      <c r="O24" s="32"/>
      <c r="P24" s="32"/>
      <c r="Q24" s="32"/>
      <c r="R24" s="32"/>
      <c r="S24" s="32"/>
      <c r="T24" s="32"/>
      <c r="U24" s="32"/>
      <c r="V24" s="32"/>
      <c r="W24" s="32"/>
      <c r="X24" s="32"/>
    </row>
    <row r="25" ht="47.25" customHeight="1">
      <c r="A25" s="32"/>
      <c r="B25" s="45">
        <v>46248.0</v>
      </c>
      <c r="C25" s="47" t="s">
        <v>78</v>
      </c>
      <c r="D25" s="62" t="s">
        <v>79</v>
      </c>
      <c r="E25" s="50" t="s">
        <v>80</v>
      </c>
      <c r="F25" s="48" t="s">
        <v>38</v>
      </c>
      <c r="G25" s="32"/>
      <c r="H25" s="32"/>
      <c r="I25" s="32"/>
      <c r="J25" s="32"/>
      <c r="K25" s="32"/>
      <c r="L25" s="32"/>
      <c r="M25" s="32"/>
      <c r="N25" s="32"/>
      <c r="O25" s="32"/>
      <c r="P25" s="32"/>
      <c r="Q25" s="32"/>
      <c r="R25" s="32"/>
      <c r="S25" s="32"/>
      <c r="T25" s="32"/>
      <c r="U25" s="32"/>
      <c r="V25" s="32"/>
      <c r="W25" s="32"/>
      <c r="X25" s="32"/>
    </row>
    <row r="26" ht="48.0" customHeight="1">
      <c r="A26" s="32"/>
      <c r="B26" s="63">
        <v>46249.0</v>
      </c>
      <c r="C26" s="47" t="s">
        <v>81</v>
      </c>
      <c r="D26" s="62" t="s">
        <v>79</v>
      </c>
      <c r="E26" s="50" t="s">
        <v>82</v>
      </c>
      <c r="F26" s="48" t="s">
        <v>38</v>
      </c>
      <c r="G26" s="32"/>
      <c r="H26" s="32"/>
      <c r="I26" s="32"/>
      <c r="J26" s="32"/>
      <c r="K26" s="32"/>
      <c r="L26" s="32"/>
      <c r="M26" s="32"/>
      <c r="N26" s="32"/>
      <c r="O26" s="32"/>
      <c r="P26" s="32"/>
      <c r="Q26" s="32"/>
      <c r="R26" s="32"/>
      <c r="S26" s="32"/>
      <c r="T26" s="32"/>
      <c r="U26" s="32"/>
      <c r="V26" s="32"/>
      <c r="W26" s="32"/>
      <c r="X26" s="32"/>
    </row>
    <row r="27" ht="54.0" customHeight="1">
      <c r="A27" s="32"/>
      <c r="B27" s="63">
        <v>46252.0</v>
      </c>
      <c r="C27" s="47" t="s">
        <v>85</v>
      </c>
      <c r="D27" s="62" t="s">
        <v>86</v>
      </c>
      <c r="E27" s="50" t="s">
        <v>87</v>
      </c>
      <c r="F27" s="48" t="s">
        <v>38</v>
      </c>
      <c r="G27" s="32"/>
      <c r="H27" s="32"/>
      <c r="I27" s="32"/>
      <c r="J27" s="32"/>
      <c r="K27" s="32"/>
      <c r="L27" s="32"/>
      <c r="M27" s="32"/>
      <c r="N27" s="32"/>
      <c r="O27" s="32"/>
      <c r="P27" s="32"/>
      <c r="Q27" s="32"/>
      <c r="R27" s="32"/>
      <c r="S27" s="32"/>
      <c r="T27" s="32"/>
      <c r="U27" s="32"/>
      <c r="V27" s="32"/>
      <c r="W27" s="32"/>
      <c r="X27" s="32"/>
    </row>
    <row r="28" ht="54.0" customHeight="1">
      <c r="A28" s="32"/>
      <c r="B28" s="63">
        <v>46255.0</v>
      </c>
      <c r="C28" s="47" t="s">
        <v>88</v>
      </c>
      <c r="D28" s="62" t="s">
        <v>89</v>
      </c>
      <c r="E28" s="50" t="s">
        <v>90</v>
      </c>
      <c r="F28" s="48" t="s">
        <v>38</v>
      </c>
      <c r="G28" s="32"/>
      <c r="H28" s="32"/>
      <c r="I28" s="32"/>
      <c r="J28" s="32"/>
      <c r="K28" s="32"/>
      <c r="L28" s="32"/>
      <c r="M28" s="32"/>
      <c r="N28" s="32"/>
      <c r="O28" s="32"/>
      <c r="P28" s="32"/>
      <c r="Q28" s="32"/>
      <c r="R28" s="32"/>
      <c r="S28" s="32"/>
      <c r="T28" s="32"/>
      <c r="U28" s="32"/>
      <c r="V28" s="32"/>
      <c r="W28" s="32"/>
      <c r="X28" s="32"/>
    </row>
    <row r="29" ht="50.25" customHeight="1">
      <c r="A29" s="32"/>
      <c r="B29" s="63">
        <v>46256.0</v>
      </c>
      <c r="C29" s="47" t="s">
        <v>91</v>
      </c>
      <c r="D29" s="62" t="s">
        <v>92</v>
      </c>
      <c r="E29" s="50" t="s">
        <v>93</v>
      </c>
      <c r="F29" s="48" t="s">
        <v>38</v>
      </c>
      <c r="G29" s="32"/>
      <c r="H29" s="32"/>
      <c r="I29" s="32"/>
      <c r="J29" s="32"/>
      <c r="K29" s="32"/>
      <c r="L29" s="32"/>
      <c r="M29" s="32"/>
      <c r="N29" s="32"/>
      <c r="O29" s="32"/>
      <c r="P29" s="32"/>
      <c r="Q29" s="32"/>
      <c r="R29" s="32"/>
      <c r="S29" s="32"/>
      <c r="T29" s="32"/>
      <c r="U29" s="32"/>
      <c r="V29" s="32"/>
      <c r="W29" s="32"/>
      <c r="X29" s="32"/>
    </row>
    <row r="30" ht="60.0" customHeight="1">
      <c r="A30" s="32"/>
      <c r="B30" s="66">
        <v>46257.0</v>
      </c>
      <c r="C30" s="67" t="s">
        <v>95</v>
      </c>
      <c r="D30" s="68" t="s">
        <v>96</v>
      </c>
      <c r="E30" s="50" t="s">
        <v>97</v>
      </c>
      <c r="F30" s="48" t="s">
        <v>38</v>
      </c>
      <c r="G30" s="32"/>
      <c r="H30" s="32"/>
      <c r="I30" s="32"/>
      <c r="J30" s="32"/>
      <c r="K30" s="32"/>
      <c r="L30" s="32"/>
      <c r="M30" s="32"/>
      <c r="N30" s="32"/>
      <c r="O30" s="32"/>
      <c r="P30" s="32"/>
      <c r="Q30" s="32"/>
      <c r="R30" s="32"/>
      <c r="S30" s="32"/>
      <c r="T30" s="32"/>
      <c r="U30" s="32"/>
      <c r="V30" s="32"/>
      <c r="W30" s="32"/>
      <c r="X30" s="32"/>
    </row>
    <row r="31" ht="13.5" customHeight="1">
      <c r="A31" s="1"/>
      <c r="B31" s="1"/>
      <c r="C31" s="1"/>
      <c r="D31" s="1"/>
      <c r="E31" s="1"/>
      <c r="F31" s="1"/>
      <c r="G31" s="1"/>
      <c r="H31" s="1"/>
      <c r="I31" s="1"/>
      <c r="J31" s="1"/>
      <c r="K31" s="1"/>
      <c r="L31" s="1"/>
      <c r="M31" s="1"/>
      <c r="N31" s="1"/>
      <c r="O31" s="1"/>
      <c r="P31" s="1"/>
      <c r="Q31" s="1"/>
      <c r="R31" s="1"/>
      <c r="S31" s="1"/>
      <c r="T31" s="1"/>
      <c r="U31" s="1"/>
      <c r="V31" s="1"/>
      <c r="W31" s="1"/>
      <c r="X31" s="1"/>
    </row>
    <row r="32" ht="13.5" customHeight="1">
      <c r="A32" s="1"/>
      <c r="B32" s="1"/>
      <c r="C32" s="1"/>
      <c r="D32" s="71"/>
      <c r="E32" s="1"/>
      <c r="F32" s="1"/>
      <c r="G32" s="1"/>
      <c r="H32" s="1"/>
      <c r="I32" s="1"/>
      <c r="J32" s="1"/>
      <c r="K32" s="1"/>
      <c r="L32" s="1"/>
      <c r="M32" s="1"/>
      <c r="N32" s="1"/>
      <c r="O32" s="1"/>
      <c r="P32" s="1"/>
      <c r="Q32" s="1"/>
      <c r="R32" s="1"/>
      <c r="S32" s="1"/>
      <c r="T32" s="1"/>
      <c r="U32" s="1"/>
      <c r="V32" s="1"/>
      <c r="W32" s="1"/>
      <c r="X32" s="1"/>
    </row>
    <row r="33" ht="13.5" customHeight="1">
      <c r="A33" s="1"/>
      <c r="B33" s="1"/>
      <c r="C33" s="1"/>
      <c r="D33" s="1"/>
      <c r="E33" s="1"/>
      <c r="F33" s="1"/>
      <c r="G33" s="1"/>
      <c r="H33" s="1"/>
      <c r="I33" s="1"/>
      <c r="J33" s="1"/>
      <c r="K33" s="1"/>
      <c r="L33" s="1"/>
      <c r="M33" s="1"/>
      <c r="N33" s="1"/>
      <c r="O33" s="1"/>
      <c r="P33" s="1"/>
      <c r="Q33" s="1"/>
      <c r="R33" s="1"/>
      <c r="S33" s="1"/>
      <c r="T33" s="1"/>
      <c r="U33" s="1"/>
      <c r="V33" s="1"/>
      <c r="W33" s="1"/>
      <c r="X33" s="1"/>
    </row>
    <row r="34" ht="13.5" customHeight="1">
      <c r="A34" s="1"/>
      <c r="B34" s="1"/>
      <c r="C34" s="1"/>
      <c r="D34" s="1"/>
      <c r="E34" s="1"/>
      <c r="F34" s="1"/>
      <c r="G34" s="1"/>
      <c r="H34" s="1"/>
      <c r="I34" s="1"/>
      <c r="J34" s="1"/>
      <c r="K34" s="1"/>
      <c r="L34" s="1"/>
      <c r="M34" s="1"/>
      <c r="N34" s="1"/>
      <c r="O34" s="1"/>
      <c r="P34" s="1"/>
      <c r="Q34" s="1"/>
      <c r="R34" s="1"/>
      <c r="S34" s="1"/>
      <c r="T34" s="1"/>
      <c r="U34" s="1"/>
      <c r="V34" s="1"/>
      <c r="W34" s="1"/>
      <c r="X34" s="1"/>
    </row>
    <row r="35" ht="13.5" customHeight="1">
      <c r="A35" s="1"/>
      <c r="B35" s="1"/>
      <c r="C35" s="1"/>
      <c r="D35" s="1"/>
      <c r="E35" s="1"/>
      <c r="F35" s="1"/>
      <c r="G35" s="1"/>
      <c r="H35" s="1"/>
      <c r="I35" s="1"/>
      <c r="J35" s="1"/>
      <c r="K35" s="1"/>
      <c r="L35" s="1"/>
      <c r="M35" s="1"/>
      <c r="N35" s="1"/>
      <c r="O35" s="1"/>
      <c r="P35" s="1"/>
      <c r="Q35" s="1"/>
      <c r="R35" s="1"/>
      <c r="S35" s="1"/>
      <c r="T35" s="1"/>
      <c r="U35" s="1"/>
      <c r="V35" s="1"/>
      <c r="W35" s="1"/>
      <c r="X35" s="1"/>
    </row>
    <row r="36" ht="13.5" customHeight="1">
      <c r="A36" s="1"/>
      <c r="B36" s="1"/>
      <c r="C36" s="1"/>
      <c r="D36" s="1"/>
      <c r="E36" s="1"/>
      <c r="F36" s="1"/>
      <c r="G36" s="1"/>
      <c r="H36" s="1"/>
      <c r="I36" s="1"/>
      <c r="J36" s="1"/>
      <c r="K36" s="1"/>
      <c r="L36" s="1"/>
      <c r="M36" s="1"/>
      <c r="N36" s="1"/>
      <c r="O36" s="1"/>
      <c r="P36" s="1"/>
      <c r="Q36" s="1"/>
      <c r="R36" s="1"/>
      <c r="S36" s="1"/>
      <c r="T36" s="1"/>
      <c r="U36" s="1"/>
      <c r="V36" s="1"/>
      <c r="W36" s="1"/>
      <c r="X36" s="1"/>
    </row>
    <row r="37" ht="13.5" customHeight="1">
      <c r="A37" s="1"/>
      <c r="B37" s="1"/>
      <c r="C37" s="1"/>
      <c r="D37" s="1"/>
      <c r="E37" s="1"/>
      <c r="F37" s="1"/>
      <c r="G37" s="1"/>
      <c r="H37" s="1"/>
      <c r="I37" s="1"/>
      <c r="J37" s="1"/>
      <c r="K37" s="1"/>
      <c r="L37" s="1"/>
      <c r="M37" s="1"/>
      <c r="N37" s="1"/>
      <c r="O37" s="1"/>
      <c r="P37" s="1"/>
      <c r="Q37" s="1"/>
      <c r="R37" s="1"/>
      <c r="S37" s="1"/>
      <c r="T37" s="1"/>
      <c r="U37" s="1"/>
      <c r="V37" s="1"/>
      <c r="W37" s="1"/>
      <c r="X37" s="1"/>
    </row>
    <row r="38" ht="13.5" customHeight="1">
      <c r="A38" s="1"/>
      <c r="B38" s="1"/>
      <c r="C38" s="1"/>
      <c r="D38" s="1"/>
      <c r="E38" s="1"/>
      <c r="F38" s="1"/>
      <c r="G38" s="1"/>
      <c r="H38" s="1"/>
      <c r="I38" s="1"/>
      <c r="J38" s="1"/>
      <c r="K38" s="1"/>
      <c r="L38" s="1"/>
      <c r="M38" s="1"/>
      <c r="N38" s="1"/>
      <c r="O38" s="1"/>
      <c r="P38" s="1"/>
      <c r="Q38" s="1"/>
      <c r="R38" s="1"/>
      <c r="S38" s="1"/>
      <c r="T38" s="1"/>
      <c r="U38" s="1"/>
      <c r="V38" s="1"/>
      <c r="W38" s="1"/>
      <c r="X38" s="1"/>
    </row>
    <row r="39" ht="13.5" customHeight="1">
      <c r="A39" s="1"/>
      <c r="B39" s="1"/>
      <c r="C39" s="1"/>
      <c r="D39" s="1"/>
      <c r="E39" s="1"/>
      <c r="F39" s="1"/>
      <c r="G39" s="1"/>
      <c r="H39" s="1"/>
      <c r="I39" s="1"/>
      <c r="J39" s="1"/>
      <c r="K39" s="1"/>
      <c r="L39" s="1"/>
      <c r="M39" s="1"/>
      <c r="N39" s="1"/>
      <c r="O39" s="1"/>
      <c r="P39" s="1"/>
      <c r="Q39" s="1"/>
      <c r="R39" s="1"/>
      <c r="S39" s="1"/>
      <c r="T39" s="1"/>
      <c r="U39" s="1"/>
      <c r="V39" s="1"/>
      <c r="W39" s="1"/>
      <c r="X39" s="1"/>
    </row>
    <row r="40" ht="13.5" customHeight="1">
      <c r="A40" s="1"/>
      <c r="B40" s="1"/>
      <c r="C40" s="1"/>
      <c r="D40" s="1"/>
      <c r="E40" s="1"/>
      <c r="F40" s="1"/>
      <c r="G40" s="1"/>
      <c r="H40" s="1"/>
      <c r="I40" s="1"/>
      <c r="J40" s="1"/>
      <c r="K40" s="1"/>
      <c r="L40" s="1"/>
      <c r="M40" s="1"/>
      <c r="N40" s="1"/>
      <c r="O40" s="1"/>
      <c r="P40" s="1"/>
      <c r="Q40" s="1"/>
      <c r="R40" s="1"/>
      <c r="S40" s="1"/>
      <c r="T40" s="1"/>
      <c r="U40" s="1"/>
      <c r="V40" s="1"/>
      <c r="W40" s="1"/>
      <c r="X40" s="1"/>
    </row>
    <row r="41" ht="13.5" customHeight="1">
      <c r="A41" s="1"/>
      <c r="B41" s="1"/>
      <c r="C41" s="1"/>
      <c r="D41" s="1"/>
      <c r="E41" s="1"/>
      <c r="F41" s="1"/>
      <c r="G41" s="1"/>
      <c r="H41" s="1"/>
      <c r="I41" s="1"/>
      <c r="J41" s="1"/>
      <c r="K41" s="1"/>
      <c r="L41" s="1"/>
      <c r="M41" s="1"/>
      <c r="N41" s="1"/>
      <c r="O41" s="1"/>
      <c r="P41" s="1"/>
      <c r="Q41" s="1"/>
      <c r="R41" s="1"/>
      <c r="S41" s="1"/>
      <c r="T41" s="1"/>
      <c r="U41" s="1"/>
      <c r="V41" s="1"/>
      <c r="W41" s="1"/>
      <c r="X41" s="1"/>
    </row>
    <row r="42" ht="13.5" customHeight="1">
      <c r="A42" s="1"/>
      <c r="B42" s="1"/>
      <c r="C42" s="1"/>
      <c r="D42" s="1"/>
      <c r="E42" s="1"/>
      <c r="F42" s="1"/>
      <c r="G42" s="1"/>
      <c r="H42" s="1"/>
      <c r="I42" s="1"/>
      <c r="J42" s="1"/>
      <c r="K42" s="1"/>
      <c r="L42" s="1"/>
      <c r="M42" s="1"/>
      <c r="N42" s="1"/>
      <c r="O42" s="1"/>
      <c r="P42" s="1"/>
      <c r="Q42" s="1"/>
      <c r="R42" s="1"/>
      <c r="S42" s="1"/>
      <c r="T42" s="1"/>
      <c r="U42" s="1"/>
      <c r="V42" s="1"/>
      <c r="W42" s="1"/>
      <c r="X42" s="1"/>
    </row>
    <row r="43" ht="13.5" customHeight="1">
      <c r="A43" s="1"/>
      <c r="B43" s="1"/>
      <c r="C43" s="1"/>
      <c r="D43" s="1"/>
      <c r="E43" s="1"/>
      <c r="F43" s="1"/>
      <c r="G43" s="1"/>
      <c r="H43" s="1"/>
      <c r="I43" s="1"/>
      <c r="J43" s="1"/>
      <c r="K43" s="1"/>
      <c r="L43" s="1"/>
      <c r="M43" s="1"/>
      <c r="N43" s="1"/>
      <c r="O43" s="1"/>
      <c r="P43" s="1"/>
      <c r="Q43" s="1"/>
      <c r="R43" s="1"/>
      <c r="S43" s="1"/>
      <c r="T43" s="1"/>
      <c r="U43" s="1"/>
      <c r="V43" s="1"/>
      <c r="W43" s="1"/>
      <c r="X43" s="1"/>
    </row>
    <row r="44" ht="13.5" customHeight="1">
      <c r="A44" s="1"/>
      <c r="B44" s="1"/>
      <c r="C44" s="1"/>
      <c r="D44" s="1"/>
      <c r="E44" s="1"/>
      <c r="F44" s="1"/>
      <c r="G44" s="1"/>
      <c r="H44" s="1"/>
      <c r="I44" s="1"/>
      <c r="J44" s="1"/>
      <c r="K44" s="1"/>
      <c r="L44" s="1"/>
      <c r="M44" s="1"/>
      <c r="N44" s="1"/>
      <c r="O44" s="1"/>
      <c r="P44" s="1"/>
      <c r="Q44" s="1"/>
      <c r="R44" s="1"/>
      <c r="S44" s="1"/>
      <c r="T44" s="1"/>
      <c r="U44" s="1"/>
      <c r="V44" s="1"/>
      <c r="W44" s="1"/>
      <c r="X44" s="1"/>
    </row>
    <row r="45" ht="13.5" customHeight="1">
      <c r="A45" s="1"/>
      <c r="B45" s="1"/>
      <c r="C45" s="1"/>
      <c r="D45" s="1"/>
      <c r="E45" s="1"/>
      <c r="F45" s="1"/>
      <c r="G45" s="1"/>
      <c r="H45" s="1"/>
      <c r="I45" s="1"/>
      <c r="J45" s="1"/>
      <c r="K45" s="1"/>
      <c r="L45" s="1"/>
      <c r="M45" s="1"/>
      <c r="N45" s="1"/>
      <c r="O45" s="1"/>
      <c r="P45" s="1"/>
      <c r="Q45" s="1"/>
      <c r="R45" s="1"/>
      <c r="S45" s="1"/>
      <c r="T45" s="1"/>
      <c r="U45" s="1"/>
      <c r="V45" s="1"/>
      <c r="W45" s="1"/>
      <c r="X45" s="1"/>
    </row>
    <row r="46" ht="13.5" customHeight="1">
      <c r="A46" s="1"/>
      <c r="B46" s="1"/>
      <c r="C46" s="1"/>
      <c r="D46" s="1"/>
      <c r="E46" s="1"/>
      <c r="F46" s="1"/>
      <c r="G46" s="1"/>
      <c r="H46" s="1"/>
      <c r="I46" s="1"/>
      <c r="J46" s="1"/>
      <c r="K46" s="1"/>
      <c r="L46" s="1"/>
      <c r="M46" s="1"/>
      <c r="N46" s="1"/>
      <c r="O46" s="1"/>
      <c r="P46" s="1"/>
      <c r="Q46" s="1"/>
      <c r="R46" s="1"/>
      <c r="S46" s="1"/>
      <c r="T46" s="1"/>
      <c r="U46" s="1"/>
      <c r="V46" s="1"/>
      <c r="W46" s="1"/>
      <c r="X46" s="1"/>
    </row>
    <row r="47" ht="13.5" customHeight="1">
      <c r="A47" s="1"/>
      <c r="B47" s="1"/>
      <c r="C47" s="1"/>
      <c r="D47" s="1"/>
      <c r="E47" s="1"/>
      <c r="F47" s="1"/>
      <c r="G47" s="1"/>
      <c r="H47" s="1"/>
      <c r="I47" s="1"/>
      <c r="J47" s="1"/>
      <c r="K47" s="1"/>
      <c r="L47" s="1"/>
      <c r="M47" s="1"/>
      <c r="N47" s="1"/>
      <c r="O47" s="1"/>
      <c r="P47" s="1"/>
      <c r="Q47" s="1"/>
      <c r="R47" s="1"/>
      <c r="S47" s="1"/>
      <c r="T47" s="1"/>
      <c r="U47" s="1"/>
      <c r="V47" s="1"/>
      <c r="W47" s="1"/>
      <c r="X47" s="1"/>
    </row>
    <row r="48" ht="13.5" customHeight="1">
      <c r="A48" s="1"/>
      <c r="B48" s="1"/>
      <c r="C48" s="1"/>
      <c r="D48" s="1"/>
      <c r="E48" s="1"/>
      <c r="F48" s="1"/>
      <c r="G48" s="1"/>
      <c r="H48" s="1"/>
      <c r="I48" s="1"/>
      <c r="J48" s="1"/>
      <c r="K48" s="1"/>
      <c r="L48" s="1"/>
      <c r="M48" s="1"/>
      <c r="N48" s="1"/>
      <c r="O48" s="1"/>
      <c r="P48" s="1"/>
      <c r="Q48" s="1"/>
      <c r="R48" s="1"/>
      <c r="S48" s="1"/>
      <c r="T48" s="1"/>
      <c r="U48" s="1"/>
      <c r="V48" s="1"/>
      <c r="W48" s="1"/>
      <c r="X48" s="1"/>
    </row>
    <row r="49" ht="13.5" customHeight="1">
      <c r="A49" s="1"/>
      <c r="B49" s="1"/>
      <c r="C49" s="1"/>
      <c r="D49" s="1"/>
      <c r="E49" s="1"/>
      <c r="F49" s="1"/>
      <c r="G49" s="1"/>
      <c r="H49" s="1"/>
      <c r="I49" s="1"/>
      <c r="J49" s="1"/>
      <c r="K49" s="1"/>
      <c r="L49" s="1"/>
      <c r="M49" s="1"/>
      <c r="N49" s="1"/>
      <c r="O49" s="1"/>
      <c r="P49" s="1"/>
      <c r="Q49" s="1"/>
      <c r="R49" s="1"/>
      <c r="S49" s="1"/>
      <c r="T49" s="1"/>
      <c r="U49" s="1"/>
      <c r="V49" s="1"/>
      <c r="W49" s="1"/>
      <c r="X49" s="1"/>
    </row>
    <row r="50" ht="13.5" customHeight="1">
      <c r="A50" s="1"/>
      <c r="B50" s="1"/>
      <c r="C50" s="1"/>
      <c r="D50" s="1"/>
      <c r="E50" s="1"/>
      <c r="F50" s="1"/>
      <c r="G50" s="1"/>
      <c r="H50" s="1"/>
      <c r="I50" s="1"/>
      <c r="J50" s="1"/>
      <c r="K50" s="1"/>
      <c r="L50" s="1"/>
      <c r="M50" s="1"/>
      <c r="N50" s="1"/>
      <c r="O50" s="1"/>
      <c r="P50" s="1"/>
      <c r="Q50" s="1"/>
      <c r="R50" s="1"/>
      <c r="S50" s="1"/>
      <c r="T50" s="1"/>
      <c r="U50" s="1"/>
      <c r="V50" s="1"/>
      <c r="W50" s="1"/>
      <c r="X50" s="1"/>
    </row>
    <row r="51" ht="13.5" customHeight="1">
      <c r="A51" s="1"/>
      <c r="B51" s="1"/>
      <c r="C51" s="1"/>
      <c r="D51" s="1"/>
      <c r="E51" s="1"/>
      <c r="F51" s="1"/>
      <c r="G51" s="1"/>
      <c r="H51" s="1"/>
      <c r="I51" s="1"/>
      <c r="J51" s="1"/>
      <c r="K51" s="1"/>
      <c r="L51" s="1"/>
      <c r="M51" s="1"/>
      <c r="N51" s="1"/>
      <c r="O51" s="1"/>
      <c r="P51" s="1"/>
      <c r="Q51" s="1"/>
      <c r="R51" s="1"/>
      <c r="S51" s="1"/>
      <c r="T51" s="1"/>
      <c r="U51" s="1"/>
      <c r="V51" s="1"/>
      <c r="W51" s="1"/>
      <c r="X51" s="1"/>
    </row>
    <row r="52" ht="13.5" customHeight="1">
      <c r="A52" s="1"/>
      <c r="B52" s="1"/>
      <c r="C52" s="1"/>
      <c r="D52" s="1"/>
      <c r="E52" s="1"/>
      <c r="F52" s="1"/>
      <c r="G52" s="1"/>
      <c r="H52" s="1"/>
      <c r="I52" s="1"/>
      <c r="J52" s="1"/>
      <c r="K52" s="1"/>
      <c r="L52" s="1"/>
      <c r="M52" s="1"/>
      <c r="N52" s="1"/>
      <c r="O52" s="1"/>
      <c r="P52" s="1"/>
      <c r="Q52" s="1"/>
      <c r="R52" s="1"/>
      <c r="S52" s="1"/>
      <c r="T52" s="1"/>
      <c r="U52" s="1"/>
      <c r="V52" s="1"/>
      <c r="W52" s="1"/>
      <c r="X52" s="1"/>
    </row>
    <row r="53" ht="13.5" customHeight="1">
      <c r="A53" s="1"/>
      <c r="B53" s="1"/>
      <c r="C53" s="1"/>
      <c r="D53" s="1"/>
      <c r="E53" s="1"/>
      <c r="F53" s="1"/>
      <c r="G53" s="1"/>
      <c r="H53" s="1"/>
      <c r="I53" s="1"/>
      <c r="J53" s="1"/>
      <c r="K53" s="1"/>
      <c r="L53" s="1"/>
      <c r="M53" s="1"/>
      <c r="N53" s="1"/>
      <c r="O53" s="1"/>
      <c r="P53" s="1"/>
      <c r="Q53" s="1"/>
      <c r="R53" s="1"/>
      <c r="S53" s="1"/>
      <c r="T53" s="1"/>
      <c r="U53" s="1"/>
      <c r="V53" s="1"/>
      <c r="W53" s="1"/>
      <c r="X53" s="1"/>
    </row>
    <row r="54" ht="13.5" customHeight="1">
      <c r="A54" s="1"/>
      <c r="B54" s="1"/>
      <c r="C54" s="1"/>
      <c r="D54" s="1"/>
      <c r="E54" s="1"/>
      <c r="F54" s="1"/>
      <c r="G54" s="1"/>
      <c r="H54" s="1"/>
      <c r="I54" s="1"/>
      <c r="J54" s="1"/>
      <c r="K54" s="1"/>
      <c r="L54" s="1"/>
      <c r="M54" s="1"/>
      <c r="N54" s="1"/>
      <c r="O54" s="1"/>
      <c r="P54" s="1"/>
      <c r="Q54" s="1"/>
      <c r="R54" s="1"/>
      <c r="S54" s="1"/>
      <c r="T54" s="1"/>
      <c r="U54" s="1"/>
      <c r="V54" s="1"/>
      <c r="W54" s="1"/>
      <c r="X54" s="1"/>
    </row>
    <row r="55" ht="13.5" customHeight="1">
      <c r="A55" s="1"/>
      <c r="B55" s="1"/>
      <c r="C55" s="1"/>
      <c r="D55" s="1"/>
      <c r="E55" s="1"/>
      <c r="F55" s="1"/>
      <c r="G55" s="1"/>
      <c r="H55" s="1"/>
      <c r="I55" s="1"/>
      <c r="J55" s="1"/>
      <c r="K55" s="1"/>
      <c r="L55" s="1"/>
      <c r="M55" s="1"/>
      <c r="N55" s="1"/>
      <c r="O55" s="1"/>
      <c r="P55" s="1"/>
      <c r="Q55" s="1"/>
      <c r="R55" s="1"/>
      <c r="S55" s="1"/>
      <c r="T55" s="1"/>
      <c r="U55" s="1"/>
      <c r="V55" s="1"/>
      <c r="W55" s="1"/>
      <c r="X55" s="1"/>
    </row>
    <row r="56" ht="13.5" customHeight="1">
      <c r="A56" s="1"/>
      <c r="B56" s="1"/>
      <c r="C56" s="1"/>
      <c r="D56" s="1"/>
      <c r="E56" s="1"/>
      <c r="F56" s="1"/>
      <c r="G56" s="1"/>
      <c r="H56" s="1"/>
      <c r="I56" s="1"/>
      <c r="J56" s="1"/>
      <c r="K56" s="1"/>
      <c r="L56" s="1"/>
      <c r="M56" s="1"/>
      <c r="N56" s="1"/>
      <c r="O56" s="1"/>
      <c r="P56" s="1"/>
      <c r="Q56" s="1"/>
      <c r="R56" s="1"/>
      <c r="S56" s="1"/>
      <c r="T56" s="1"/>
      <c r="U56" s="1"/>
      <c r="V56" s="1"/>
      <c r="W56" s="1"/>
      <c r="X56" s="1"/>
    </row>
    <row r="57" ht="13.5" customHeight="1">
      <c r="A57" s="1"/>
      <c r="B57" s="1"/>
      <c r="C57" s="1"/>
      <c r="D57" s="1"/>
      <c r="E57" s="1"/>
      <c r="F57" s="1"/>
      <c r="G57" s="1"/>
      <c r="H57" s="1"/>
      <c r="I57" s="1"/>
      <c r="J57" s="1"/>
      <c r="K57" s="1"/>
      <c r="L57" s="1"/>
      <c r="M57" s="1"/>
      <c r="N57" s="1"/>
      <c r="O57" s="1"/>
      <c r="P57" s="1"/>
      <c r="Q57" s="1"/>
      <c r="R57" s="1"/>
      <c r="S57" s="1"/>
      <c r="T57" s="1"/>
      <c r="U57" s="1"/>
      <c r="V57" s="1"/>
      <c r="W57" s="1"/>
      <c r="X57" s="1"/>
    </row>
    <row r="58" ht="13.5" customHeight="1">
      <c r="A58" s="1"/>
      <c r="B58" s="1"/>
      <c r="C58" s="1"/>
      <c r="D58" s="1"/>
      <c r="E58" s="1"/>
      <c r="F58" s="1"/>
      <c r="G58" s="1"/>
      <c r="H58" s="1"/>
      <c r="I58" s="1"/>
      <c r="J58" s="1"/>
      <c r="K58" s="1"/>
      <c r="L58" s="1"/>
      <c r="M58" s="1"/>
      <c r="N58" s="1"/>
      <c r="O58" s="1"/>
      <c r="P58" s="1"/>
      <c r="Q58" s="1"/>
      <c r="R58" s="1"/>
      <c r="S58" s="1"/>
      <c r="T58" s="1"/>
      <c r="U58" s="1"/>
      <c r="V58" s="1"/>
      <c r="W58" s="1"/>
      <c r="X58" s="1"/>
    </row>
    <row r="59" ht="13.5" customHeight="1">
      <c r="A59" s="1"/>
      <c r="B59" s="1"/>
      <c r="C59" s="1"/>
      <c r="D59" s="1"/>
      <c r="E59" s="1"/>
      <c r="F59" s="1"/>
      <c r="G59" s="1"/>
      <c r="H59" s="1"/>
      <c r="I59" s="1"/>
      <c r="J59" s="1"/>
      <c r="K59" s="1"/>
      <c r="L59" s="1"/>
      <c r="M59" s="1"/>
      <c r="N59" s="1"/>
      <c r="O59" s="1"/>
      <c r="P59" s="1"/>
      <c r="Q59" s="1"/>
      <c r="R59" s="1"/>
      <c r="S59" s="1"/>
      <c r="T59" s="1"/>
      <c r="U59" s="1"/>
      <c r="V59" s="1"/>
      <c r="W59" s="1"/>
      <c r="X59" s="1"/>
    </row>
    <row r="60" ht="13.5" customHeight="1">
      <c r="A60" s="1"/>
      <c r="B60" s="1"/>
      <c r="C60" s="1"/>
      <c r="D60" s="1"/>
      <c r="E60" s="1"/>
      <c r="F60" s="1"/>
      <c r="G60" s="1"/>
      <c r="H60" s="1"/>
      <c r="I60" s="1"/>
      <c r="J60" s="1"/>
      <c r="K60" s="1"/>
      <c r="L60" s="1"/>
      <c r="M60" s="1"/>
      <c r="N60" s="1"/>
      <c r="O60" s="1"/>
      <c r="P60" s="1"/>
      <c r="Q60" s="1"/>
      <c r="R60" s="1"/>
      <c r="S60" s="1"/>
      <c r="T60" s="1"/>
      <c r="U60" s="1"/>
      <c r="V60" s="1"/>
      <c r="W60" s="1"/>
      <c r="X60" s="1"/>
    </row>
    <row r="61" ht="13.5" customHeight="1">
      <c r="A61" s="1"/>
      <c r="B61" s="1"/>
      <c r="C61" s="1"/>
      <c r="D61" s="1"/>
      <c r="E61" s="1"/>
      <c r="F61" s="1"/>
      <c r="G61" s="1"/>
      <c r="H61" s="1"/>
      <c r="I61" s="1"/>
      <c r="J61" s="1"/>
      <c r="K61" s="1"/>
      <c r="L61" s="1"/>
      <c r="M61" s="1"/>
      <c r="N61" s="1"/>
      <c r="O61" s="1"/>
      <c r="P61" s="1"/>
      <c r="Q61" s="1"/>
      <c r="R61" s="1"/>
      <c r="S61" s="1"/>
      <c r="T61" s="1"/>
      <c r="U61" s="1"/>
      <c r="V61" s="1"/>
      <c r="W61" s="1"/>
      <c r="X61" s="1"/>
    </row>
    <row r="62" ht="13.5" customHeight="1">
      <c r="A62" s="1"/>
      <c r="B62" s="1"/>
      <c r="C62" s="1"/>
      <c r="D62" s="1"/>
      <c r="E62" s="1"/>
      <c r="F62" s="1"/>
      <c r="G62" s="1"/>
      <c r="H62" s="1"/>
      <c r="I62" s="1"/>
      <c r="J62" s="1"/>
      <c r="K62" s="1"/>
      <c r="L62" s="1"/>
      <c r="M62" s="1"/>
      <c r="N62" s="1"/>
      <c r="O62" s="1"/>
      <c r="P62" s="1"/>
      <c r="Q62" s="1"/>
      <c r="R62" s="1"/>
      <c r="S62" s="1"/>
      <c r="T62" s="1"/>
      <c r="U62" s="1"/>
      <c r="V62" s="1"/>
      <c r="W62" s="1"/>
      <c r="X62" s="1"/>
    </row>
    <row r="63" ht="13.5" customHeight="1">
      <c r="A63" s="1"/>
      <c r="B63" s="1"/>
      <c r="C63" s="1"/>
      <c r="D63" s="1"/>
      <c r="E63" s="1"/>
      <c r="F63" s="1"/>
      <c r="G63" s="1"/>
      <c r="H63" s="1"/>
      <c r="I63" s="1"/>
      <c r="J63" s="1"/>
      <c r="K63" s="1"/>
      <c r="L63" s="1"/>
      <c r="M63" s="1"/>
      <c r="N63" s="1"/>
      <c r="O63" s="1"/>
      <c r="P63" s="1"/>
      <c r="Q63" s="1"/>
      <c r="R63" s="1"/>
      <c r="S63" s="1"/>
      <c r="T63" s="1"/>
      <c r="U63" s="1"/>
      <c r="V63" s="1"/>
      <c r="W63" s="1"/>
      <c r="X63" s="1"/>
    </row>
    <row r="64" ht="13.5" customHeight="1">
      <c r="A64" s="1"/>
      <c r="B64" s="1"/>
      <c r="C64" s="1"/>
      <c r="D64" s="1"/>
      <c r="E64" s="1"/>
      <c r="F64" s="1"/>
      <c r="G64" s="1"/>
      <c r="H64" s="1"/>
      <c r="I64" s="1"/>
      <c r="J64" s="1"/>
      <c r="K64" s="1"/>
      <c r="L64" s="1"/>
      <c r="M64" s="1"/>
      <c r="N64" s="1"/>
      <c r="O64" s="1"/>
      <c r="P64" s="1"/>
      <c r="Q64" s="1"/>
      <c r="R64" s="1"/>
      <c r="S64" s="1"/>
      <c r="T64" s="1"/>
      <c r="U64" s="1"/>
      <c r="V64" s="1"/>
      <c r="W64" s="1"/>
      <c r="X64" s="1"/>
    </row>
    <row r="65" ht="13.5" customHeight="1">
      <c r="A65" s="1"/>
      <c r="B65" s="1"/>
      <c r="C65" s="1"/>
      <c r="D65" s="1"/>
      <c r="E65" s="1"/>
      <c r="F65" s="1"/>
      <c r="G65" s="1"/>
      <c r="H65" s="1"/>
      <c r="I65" s="1"/>
      <c r="J65" s="1"/>
      <c r="K65" s="1"/>
      <c r="L65" s="1"/>
      <c r="M65" s="1"/>
      <c r="N65" s="1"/>
      <c r="O65" s="1"/>
      <c r="P65" s="1"/>
      <c r="Q65" s="1"/>
      <c r="R65" s="1"/>
      <c r="S65" s="1"/>
      <c r="T65" s="1"/>
      <c r="U65" s="1"/>
      <c r="V65" s="1"/>
      <c r="W65" s="1"/>
      <c r="X65" s="1"/>
    </row>
    <row r="66" ht="13.5" customHeight="1">
      <c r="A66" s="1"/>
      <c r="B66" s="1"/>
      <c r="C66" s="1"/>
      <c r="D66" s="1"/>
      <c r="E66" s="1"/>
      <c r="F66" s="1"/>
      <c r="G66" s="1"/>
      <c r="H66" s="1"/>
      <c r="I66" s="1"/>
      <c r="J66" s="1"/>
      <c r="K66" s="1"/>
      <c r="L66" s="1"/>
      <c r="M66" s="1"/>
      <c r="N66" s="1"/>
      <c r="O66" s="1"/>
      <c r="P66" s="1"/>
      <c r="Q66" s="1"/>
      <c r="R66" s="1"/>
      <c r="S66" s="1"/>
      <c r="T66" s="1"/>
      <c r="U66" s="1"/>
      <c r="V66" s="1"/>
      <c r="W66" s="1"/>
      <c r="X66" s="1"/>
    </row>
    <row r="67" ht="13.5" customHeight="1">
      <c r="A67" s="1"/>
      <c r="B67" s="1"/>
      <c r="C67" s="1"/>
      <c r="D67" s="1"/>
      <c r="E67" s="1"/>
      <c r="F67" s="1"/>
      <c r="G67" s="1"/>
      <c r="H67" s="1"/>
      <c r="I67" s="1"/>
      <c r="J67" s="1"/>
      <c r="K67" s="1"/>
      <c r="L67" s="1"/>
      <c r="M67" s="1"/>
      <c r="N67" s="1"/>
      <c r="O67" s="1"/>
      <c r="P67" s="1"/>
      <c r="Q67" s="1"/>
      <c r="R67" s="1"/>
      <c r="S67" s="1"/>
      <c r="T67" s="1"/>
      <c r="U67" s="1"/>
      <c r="V67" s="1"/>
      <c r="W67" s="1"/>
      <c r="X67" s="1"/>
    </row>
    <row r="68" ht="13.5" customHeight="1">
      <c r="A68" s="1"/>
      <c r="B68" s="1"/>
      <c r="C68" s="1"/>
      <c r="D68" s="1"/>
      <c r="E68" s="1"/>
      <c r="F68" s="1"/>
      <c r="G68" s="1"/>
      <c r="H68" s="1"/>
      <c r="I68" s="1"/>
      <c r="J68" s="1"/>
      <c r="K68" s="1"/>
      <c r="L68" s="1"/>
      <c r="M68" s="1"/>
      <c r="N68" s="1"/>
      <c r="O68" s="1"/>
      <c r="P68" s="1"/>
      <c r="Q68" s="1"/>
      <c r="R68" s="1"/>
      <c r="S68" s="1"/>
      <c r="T68" s="1"/>
      <c r="U68" s="1"/>
      <c r="V68" s="1"/>
      <c r="W68" s="1"/>
      <c r="X68" s="1"/>
    </row>
    <row r="69" ht="13.5" customHeight="1">
      <c r="A69" s="1"/>
      <c r="B69" s="1"/>
      <c r="C69" s="1"/>
      <c r="D69" s="1"/>
      <c r="E69" s="1"/>
      <c r="F69" s="1"/>
      <c r="G69" s="1"/>
      <c r="H69" s="1"/>
      <c r="I69" s="1"/>
      <c r="J69" s="1"/>
      <c r="K69" s="1"/>
      <c r="L69" s="1"/>
      <c r="M69" s="1"/>
      <c r="N69" s="1"/>
      <c r="O69" s="1"/>
      <c r="P69" s="1"/>
      <c r="Q69" s="1"/>
      <c r="R69" s="1"/>
      <c r="S69" s="1"/>
      <c r="T69" s="1"/>
      <c r="U69" s="1"/>
      <c r="V69" s="1"/>
      <c r="W69" s="1"/>
      <c r="X69" s="1"/>
    </row>
    <row r="70" ht="13.5" customHeight="1">
      <c r="A70" s="1"/>
      <c r="B70" s="1"/>
      <c r="C70" s="1"/>
      <c r="D70" s="1"/>
      <c r="E70" s="1"/>
      <c r="F70" s="1"/>
      <c r="G70" s="1"/>
      <c r="H70" s="1"/>
      <c r="I70" s="1"/>
      <c r="J70" s="1"/>
      <c r="K70" s="1"/>
      <c r="L70" s="1"/>
      <c r="M70" s="1"/>
      <c r="N70" s="1"/>
      <c r="O70" s="1"/>
      <c r="P70" s="1"/>
      <c r="Q70" s="1"/>
      <c r="R70" s="1"/>
      <c r="S70" s="1"/>
      <c r="T70" s="1"/>
      <c r="U70" s="1"/>
      <c r="V70" s="1"/>
      <c r="W70" s="1"/>
      <c r="X70" s="1"/>
    </row>
    <row r="71" ht="13.5" customHeight="1">
      <c r="A71" s="1"/>
      <c r="B71" s="1"/>
      <c r="C71" s="1"/>
      <c r="D71" s="1"/>
      <c r="E71" s="1"/>
      <c r="F71" s="1"/>
      <c r="G71" s="1"/>
      <c r="H71" s="1"/>
      <c r="I71" s="1"/>
      <c r="J71" s="1"/>
      <c r="K71" s="1"/>
      <c r="L71" s="1"/>
      <c r="M71" s="1"/>
      <c r="N71" s="1"/>
      <c r="O71" s="1"/>
      <c r="P71" s="1"/>
      <c r="Q71" s="1"/>
      <c r="R71" s="1"/>
      <c r="S71" s="1"/>
      <c r="T71" s="1"/>
      <c r="U71" s="1"/>
      <c r="V71" s="1"/>
      <c r="W71" s="1"/>
      <c r="X71" s="1"/>
    </row>
    <row r="72" ht="13.5" customHeight="1">
      <c r="A72" s="1"/>
      <c r="B72" s="1"/>
      <c r="C72" s="1"/>
      <c r="D72" s="1"/>
      <c r="E72" s="1"/>
      <c r="F72" s="1"/>
      <c r="G72" s="1"/>
      <c r="H72" s="1"/>
      <c r="I72" s="1"/>
      <c r="J72" s="1"/>
      <c r="K72" s="1"/>
      <c r="L72" s="1"/>
      <c r="M72" s="1"/>
      <c r="N72" s="1"/>
      <c r="O72" s="1"/>
      <c r="P72" s="1"/>
      <c r="Q72" s="1"/>
      <c r="R72" s="1"/>
      <c r="S72" s="1"/>
      <c r="T72" s="1"/>
      <c r="U72" s="1"/>
      <c r="V72" s="1"/>
      <c r="W72" s="1"/>
      <c r="X72" s="1"/>
    </row>
    <row r="73" ht="13.5" customHeight="1">
      <c r="A73" s="1"/>
      <c r="B73" s="1"/>
      <c r="C73" s="1"/>
      <c r="D73" s="1"/>
      <c r="E73" s="1"/>
      <c r="F73" s="1"/>
      <c r="G73" s="1"/>
      <c r="H73" s="1"/>
      <c r="I73" s="1"/>
      <c r="J73" s="1"/>
      <c r="K73" s="1"/>
      <c r="L73" s="1"/>
      <c r="M73" s="1"/>
      <c r="N73" s="1"/>
      <c r="O73" s="1"/>
      <c r="P73" s="1"/>
      <c r="Q73" s="1"/>
      <c r="R73" s="1"/>
      <c r="S73" s="1"/>
      <c r="T73" s="1"/>
      <c r="U73" s="1"/>
      <c r="V73" s="1"/>
      <c r="W73" s="1"/>
      <c r="X73" s="1"/>
    </row>
    <row r="74" ht="13.5" customHeight="1">
      <c r="A74" s="1"/>
      <c r="B74" s="1"/>
      <c r="C74" s="1"/>
      <c r="D74" s="1"/>
      <c r="E74" s="1"/>
      <c r="F74" s="1"/>
      <c r="G74" s="1"/>
      <c r="H74" s="1"/>
      <c r="I74" s="1"/>
      <c r="J74" s="1"/>
      <c r="K74" s="1"/>
      <c r="L74" s="1"/>
      <c r="M74" s="1"/>
      <c r="N74" s="1"/>
      <c r="O74" s="1"/>
      <c r="P74" s="1"/>
      <c r="Q74" s="1"/>
      <c r="R74" s="1"/>
      <c r="S74" s="1"/>
      <c r="T74" s="1"/>
      <c r="U74" s="1"/>
      <c r="V74" s="1"/>
      <c r="W74" s="1"/>
      <c r="X74" s="1"/>
    </row>
    <row r="75" ht="13.5" customHeight="1">
      <c r="A75" s="1"/>
      <c r="B75" s="1"/>
      <c r="C75" s="1"/>
      <c r="D75" s="1"/>
      <c r="E75" s="1"/>
      <c r="F75" s="1"/>
      <c r="G75" s="1"/>
      <c r="H75" s="1"/>
      <c r="I75" s="1"/>
      <c r="J75" s="1"/>
      <c r="K75" s="1"/>
      <c r="L75" s="1"/>
      <c r="M75" s="1"/>
      <c r="N75" s="1"/>
      <c r="O75" s="1"/>
      <c r="P75" s="1"/>
      <c r="Q75" s="1"/>
      <c r="R75" s="1"/>
      <c r="S75" s="1"/>
      <c r="T75" s="1"/>
      <c r="U75" s="1"/>
      <c r="V75" s="1"/>
      <c r="W75" s="1"/>
      <c r="X75" s="1"/>
    </row>
    <row r="76" ht="13.5" customHeight="1">
      <c r="A76" s="1"/>
      <c r="B76" s="1"/>
      <c r="C76" s="1"/>
      <c r="D76" s="1"/>
      <c r="E76" s="1"/>
      <c r="F76" s="1"/>
      <c r="G76" s="1"/>
      <c r="H76" s="1"/>
      <c r="I76" s="1"/>
      <c r="J76" s="1"/>
      <c r="K76" s="1"/>
      <c r="L76" s="1"/>
      <c r="M76" s="1"/>
      <c r="N76" s="1"/>
      <c r="O76" s="1"/>
      <c r="P76" s="1"/>
      <c r="Q76" s="1"/>
      <c r="R76" s="1"/>
      <c r="S76" s="1"/>
      <c r="T76" s="1"/>
      <c r="U76" s="1"/>
      <c r="V76" s="1"/>
      <c r="W76" s="1"/>
      <c r="X76" s="1"/>
    </row>
    <row r="77" ht="13.5" customHeight="1">
      <c r="A77" s="1"/>
      <c r="B77" s="1"/>
      <c r="C77" s="1"/>
      <c r="D77" s="1"/>
      <c r="E77" s="1"/>
      <c r="F77" s="1"/>
      <c r="G77" s="1"/>
      <c r="H77" s="1"/>
      <c r="I77" s="1"/>
      <c r="J77" s="1"/>
      <c r="K77" s="1"/>
      <c r="L77" s="1"/>
      <c r="M77" s="1"/>
      <c r="N77" s="1"/>
      <c r="O77" s="1"/>
      <c r="P77" s="1"/>
      <c r="Q77" s="1"/>
      <c r="R77" s="1"/>
      <c r="S77" s="1"/>
      <c r="T77" s="1"/>
      <c r="U77" s="1"/>
      <c r="V77" s="1"/>
      <c r="W77" s="1"/>
      <c r="X77" s="1"/>
    </row>
    <row r="78" ht="13.5" customHeight="1">
      <c r="A78" s="1"/>
      <c r="B78" s="1"/>
      <c r="C78" s="1"/>
      <c r="D78" s="1"/>
      <c r="E78" s="1"/>
      <c r="F78" s="1"/>
      <c r="G78" s="1"/>
      <c r="H78" s="1"/>
      <c r="I78" s="1"/>
      <c r="J78" s="1"/>
      <c r="K78" s="1"/>
      <c r="L78" s="1"/>
      <c r="M78" s="1"/>
      <c r="N78" s="1"/>
      <c r="O78" s="1"/>
      <c r="P78" s="1"/>
      <c r="Q78" s="1"/>
      <c r="R78" s="1"/>
      <c r="S78" s="1"/>
      <c r="T78" s="1"/>
      <c r="U78" s="1"/>
      <c r="V78" s="1"/>
      <c r="W78" s="1"/>
      <c r="X78" s="1"/>
    </row>
    <row r="79" ht="13.5" customHeight="1">
      <c r="A79" s="1"/>
      <c r="B79" s="1"/>
      <c r="C79" s="1"/>
      <c r="D79" s="1"/>
      <c r="E79" s="1"/>
      <c r="F79" s="1"/>
      <c r="G79" s="1"/>
      <c r="H79" s="1"/>
      <c r="I79" s="1"/>
      <c r="J79" s="1"/>
      <c r="K79" s="1"/>
      <c r="L79" s="1"/>
      <c r="M79" s="1"/>
      <c r="N79" s="1"/>
      <c r="O79" s="1"/>
      <c r="P79" s="1"/>
      <c r="Q79" s="1"/>
      <c r="R79" s="1"/>
      <c r="S79" s="1"/>
      <c r="T79" s="1"/>
      <c r="U79" s="1"/>
      <c r="V79" s="1"/>
      <c r="W79" s="1"/>
      <c r="X79" s="1"/>
    </row>
    <row r="80" ht="13.5" customHeight="1">
      <c r="A80" s="1"/>
      <c r="B80" s="1"/>
      <c r="C80" s="1"/>
      <c r="D80" s="1"/>
      <c r="E80" s="1"/>
      <c r="F80" s="1"/>
      <c r="G80" s="1"/>
      <c r="H80" s="1"/>
      <c r="I80" s="1"/>
      <c r="J80" s="1"/>
      <c r="K80" s="1"/>
      <c r="L80" s="1"/>
      <c r="M80" s="1"/>
      <c r="N80" s="1"/>
      <c r="O80" s="1"/>
      <c r="P80" s="1"/>
      <c r="Q80" s="1"/>
      <c r="R80" s="1"/>
      <c r="S80" s="1"/>
      <c r="T80" s="1"/>
      <c r="U80" s="1"/>
      <c r="V80" s="1"/>
      <c r="W80" s="1"/>
      <c r="X80" s="1"/>
    </row>
    <row r="81" ht="13.5" customHeight="1">
      <c r="A81" s="1"/>
      <c r="B81" s="1"/>
      <c r="C81" s="1"/>
      <c r="D81" s="1"/>
      <c r="E81" s="1"/>
      <c r="F81" s="1"/>
      <c r="G81" s="1"/>
      <c r="H81" s="1"/>
      <c r="I81" s="1"/>
      <c r="J81" s="1"/>
      <c r="K81" s="1"/>
      <c r="L81" s="1"/>
      <c r="M81" s="1"/>
      <c r="N81" s="1"/>
      <c r="O81" s="1"/>
      <c r="P81" s="1"/>
      <c r="Q81" s="1"/>
      <c r="R81" s="1"/>
      <c r="S81" s="1"/>
      <c r="T81" s="1"/>
      <c r="U81" s="1"/>
      <c r="V81" s="1"/>
      <c r="W81" s="1"/>
      <c r="X81" s="1"/>
    </row>
    <row r="82" ht="13.5" customHeight="1">
      <c r="A82" s="1"/>
      <c r="B82" s="1"/>
      <c r="C82" s="1"/>
      <c r="D82" s="1"/>
      <c r="E82" s="1"/>
      <c r="F82" s="1"/>
      <c r="G82" s="1"/>
      <c r="H82" s="1"/>
      <c r="I82" s="1"/>
      <c r="J82" s="1"/>
      <c r="K82" s="1"/>
      <c r="L82" s="1"/>
      <c r="M82" s="1"/>
      <c r="N82" s="1"/>
      <c r="O82" s="1"/>
      <c r="P82" s="1"/>
      <c r="Q82" s="1"/>
      <c r="R82" s="1"/>
      <c r="S82" s="1"/>
      <c r="T82" s="1"/>
      <c r="U82" s="1"/>
      <c r="V82" s="1"/>
      <c r="W82" s="1"/>
      <c r="X82" s="1"/>
    </row>
    <row r="83" ht="13.5" customHeight="1">
      <c r="A83" s="1"/>
      <c r="B83" s="1"/>
      <c r="C83" s="1"/>
      <c r="D83" s="1"/>
      <c r="E83" s="1"/>
      <c r="F83" s="1"/>
      <c r="G83" s="1"/>
      <c r="H83" s="1"/>
      <c r="I83" s="1"/>
      <c r="J83" s="1"/>
      <c r="K83" s="1"/>
      <c r="L83" s="1"/>
      <c r="M83" s="1"/>
      <c r="N83" s="1"/>
      <c r="O83" s="1"/>
      <c r="P83" s="1"/>
      <c r="Q83" s="1"/>
      <c r="R83" s="1"/>
      <c r="S83" s="1"/>
      <c r="T83" s="1"/>
      <c r="U83" s="1"/>
      <c r="V83" s="1"/>
      <c r="W83" s="1"/>
      <c r="X83" s="1"/>
    </row>
    <row r="84" ht="13.5" customHeight="1">
      <c r="A84" s="1"/>
      <c r="B84" s="1"/>
      <c r="C84" s="1"/>
      <c r="D84" s="1"/>
      <c r="E84" s="1"/>
      <c r="F84" s="1"/>
      <c r="G84" s="1"/>
      <c r="H84" s="1"/>
      <c r="I84" s="1"/>
      <c r="J84" s="1"/>
      <c r="K84" s="1"/>
      <c r="L84" s="1"/>
      <c r="M84" s="1"/>
      <c r="N84" s="1"/>
      <c r="O84" s="1"/>
      <c r="P84" s="1"/>
      <c r="Q84" s="1"/>
      <c r="R84" s="1"/>
      <c r="S84" s="1"/>
      <c r="T84" s="1"/>
      <c r="U84" s="1"/>
      <c r="V84" s="1"/>
      <c r="W84" s="1"/>
      <c r="X84" s="1"/>
    </row>
    <row r="85" ht="13.5" customHeight="1">
      <c r="A85" s="1"/>
      <c r="B85" s="1"/>
      <c r="C85" s="1"/>
      <c r="D85" s="1"/>
      <c r="E85" s="1"/>
      <c r="F85" s="1"/>
      <c r="G85" s="1"/>
      <c r="H85" s="1"/>
      <c r="I85" s="1"/>
      <c r="J85" s="1"/>
      <c r="K85" s="1"/>
      <c r="L85" s="1"/>
      <c r="M85" s="1"/>
      <c r="N85" s="1"/>
      <c r="O85" s="1"/>
      <c r="P85" s="1"/>
      <c r="Q85" s="1"/>
      <c r="R85" s="1"/>
      <c r="S85" s="1"/>
      <c r="T85" s="1"/>
      <c r="U85" s="1"/>
      <c r="V85" s="1"/>
      <c r="W85" s="1"/>
      <c r="X85" s="1"/>
    </row>
    <row r="86" ht="13.5" customHeight="1">
      <c r="A86" s="1"/>
      <c r="B86" s="1"/>
      <c r="C86" s="1"/>
      <c r="D86" s="1"/>
      <c r="E86" s="1"/>
      <c r="F86" s="1"/>
      <c r="G86" s="1"/>
      <c r="H86" s="1"/>
      <c r="I86" s="1"/>
      <c r="J86" s="1"/>
      <c r="K86" s="1"/>
      <c r="L86" s="1"/>
      <c r="M86" s="1"/>
      <c r="N86" s="1"/>
      <c r="O86" s="1"/>
      <c r="P86" s="1"/>
      <c r="Q86" s="1"/>
      <c r="R86" s="1"/>
      <c r="S86" s="1"/>
      <c r="T86" s="1"/>
      <c r="U86" s="1"/>
      <c r="V86" s="1"/>
      <c r="W86" s="1"/>
      <c r="X86" s="1"/>
    </row>
    <row r="87" ht="13.5" customHeight="1">
      <c r="A87" s="1"/>
      <c r="B87" s="1"/>
      <c r="C87" s="1"/>
      <c r="D87" s="1"/>
      <c r="E87" s="1"/>
      <c r="F87" s="1"/>
      <c r="G87" s="1"/>
      <c r="H87" s="1"/>
      <c r="I87" s="1"/>
      <c r="J87" s="1"/>
      <c r="K87" s="1"/>
      <c r="L87" s="1"/>
      <c r="M87" s="1"/>
      <c r="N87" s="1"/>
      <c r="O87" s="1"/>
      <c r="P87" s="1"/>
      <c r="Q87" s="1"/>
      <c r="R87" s="1"/>
      <c r="S87" s="1"/>
      <c r="T87" s="1"/>
      <c r="U87" s="1"/>
      <c r="V87" s="1"/>
      <c r="W87" s="1"/>
      <c r="X87" s="1"/>
    </row>
    <row r="88" ht="13.5" customHeight="1">
      <c r="A88" s="1"/>
      <c r="B88" s="1"/>
      <c r="C88" s="1"/>
      <c r="D88" s="1"/>
      <c r="E88" s="1"/>
      <c r="F88" s="1"/>
      <c r="G88" s="1"/>
      <c r="H88" s="1"/>
      <c r="I88" s="1"/>
      <c r="J88" s="1"/>
      <c r="K88" s="1"/>
      <c r="L88" s="1"/>
      <c r="M88" s="1"/>
      <c r="N88" s="1"/>
      <c r="O88" s="1"/>
      <c r="P88" s="1"/>
      <c r="Q88" s="1"/>
      <c r="R88" s="1"/>
      <c r="S88" s="1"/>
      <c r="T88" s="1"/>
      <c r="U88" s="1"/>
      <c r="V88" s="1"/>
      <c r="W88" s="1"/>
      <c r="X88" s="1"/>
    </row>
    <row r="89" ht="13.5" customHeight="1">
      <c r="A89" s="1"/>
      <c r="B89" s="1"/>
      <c r="C89" s="1"/>
      <c r="D89" s="1"/>
      <c r="E89" s="1"/>
      <c r="F89" s="1"/>
      <c r="G89" s="1"/>
      <c r="H89" s="1"/>
      <c r="I89" s="1"/>
      <c r="J89" s="1"/>
      <c r="K89" s="1"/>
      <c r="L89" s="1"/>
      <c r="M89" s="1"/>
      <c r="N89" s="1"/>
      <c r="O89" s="1"/>
      <c r="P89" s="1"/>
      <c r="Q89" s="1"/>
      <c r="R89" s="1"/>
      <c r="S89" s="1"/>
      <c r="T89" s="1"/>
      <c r="U89" s="1"/>
      <c r="V89" s="1"/>
      <c r="W89" s="1"/>
      <c r="X89" s="1"/>
    </row>
    <row r="90" ht="13.5" customHeight="1">
      <c r="A90" s="1"/>
      <c r="B90" s="1"/>
      <c r="C90" s="1"/>
      <c r="D90" s="1"/>
      <c r="E90" s="1"/>
      <c r="F90" s="1"/>
      <c r="G90" s="1"/>
      <c r="H90" s="1"/>
      <c r="I90" s="1"/>
      <c r="J90" s="1"/>
      <c r="K90" s="1"/>
      <c r="L90" s="1"/>
      <c r="M90" s="1"/>
      <c r="N90" s="1"/>
      <c r="O90" s="1"/>
      <c r="P90" s="1"/>
      <c r="Q90" s="1"/>
      <c r="R90" s="1"/>
      <c r="S90" s="1"/>
      <c r="T90" s="1"/>
      <c r="U90" s="1"/>
      <c r="V90" s="1"/>
      <c r="W90" s="1"/>
      <c r="X90" s="1"/>
    </row>
    <row r="91" ht="13.5" customHeight="1">
      <c r="A91" s="1"/>
      <c r="B91" s="1"/>
      <c r="C91" s="1"/>
      <c r="D91" s="1"/>
      <c r="E91" s="1"/>
      <c r="F91" s="1"/>
      <c r="G91" s="1"/>
      <c r="H91" s="1"/>
      <c r="I91" s="1"/>
      <c r="J91" s="1"/>
      <c r="K91" s="1"/>
      <c r="L91" s="1"/>
      <c r="M91" s="1"/>
      <c r="N91" s="1"/>
      <c r="O91" s="1"/>
      <c r="P91" s="1"/>
      <c r="Q91" s="1"/>
      <c r="R91" s="1"/>
      <c r="S91" s="1"/>
      <c r="T91" s="1"/>
      <c r="U91" s="1"/>
      <c r="V91" s="1"/>
      <c r="W91" s="1"/>
      <c r="X91" s="1"/>
    </row>
    <row r="92" ht="13.5" customHeight="1">
      <c r="A92" s="1"/>
      <c r="B92" s="1"/>
      <c r="C92" s="1"/>
      <c r="D92" s="1"/>
      <c r="E92" s="1"/>
      <c r="F92" s="1"/>
      <c r="G92" s="1"/>
      <c r="H92" s="1"/>
      <c r="I92" s="1"/>
      <c r="J92" s="1"/>
      <c r="K92" s="1"/>
      <c r="L92" s="1"/>
      <c r="M92" s="1"/>
      <c r="N92" s="1"/>
      <c r="O92" s="1"/>
      <c r="P92" s="1"/>
      <c r="Q92" s="1"/>
      <c r="R92" s="1"/>
      <c r="S92" s="1"/>
      <c r="T92" s="1"/>
      <c r="U92" s="1"/>
      <c r="V92" s="1"/>
      <c r="W92" s="1"/>
      <c r="X92" s="1"/>
    </row>
    <row r="93" ht="13.5" customHeight="1">
      <c r="A93" s="1"/>
      <c r="B93" s="1"/>
      <c r="C93" s="1"/>
      <c r="D93" s="1"/>
      <c r="E93" s="1"/>
      <c r="F93" s="1"/>
      <c r="G93" s="1"/>
      <c r="H93" s="1"/>
      <c r="I93" s="1"/>
      <c r="J93" s="1"/>
      <c r="K93" s="1"/>
      <c r="L93" s="1"/>
      <c r="M93" s="1"/>
      <c r="N93" s="1"/>
      <c r="O93" s="1"/>
      <c r="P93" s="1"/>
      <c r="Q93" s="1"/>
      <c r="R93" s="1"/>
      <c r="S93" s="1"/>
      <c r="T93" s="1"/>
      <c r="U93" s="1"/>
      <c r="V93" s="1"/>
      <c r="W93" s="1"/>
      <c r="X93" s="1"/>
    </row>
    <row r="94" ht="13.5" customHeight="1">
      <c r="A94" s="1"/>
      <c r="B94" s="1"/>
      <c r="C94" s="1"/>
      <c r="D94" s="1"/>
      <c r="E94" s="1"/>
      <c r="F94" s="1"/>
      <c r="G94" s="1"/>
      <c r="H94" s="1"/>
      <c r="I94" s="1"/>
      <c r="J94" s="1"/>
      <c r="K94" s="1"/>
      <c r="L94" s="1"/>
      <c r="M94" s="1"/>
      <c r="N94" s="1"/>
      <c r="O94" s="1"/>
      <c r="P94" s="1"/>
      <c r="Q94" s="1"/>
      <c r="R94" s="1"/>
      <c r="S94" s="1"/>
      <c r="T94" s="1"/>
      <c r="U94" s="1"/>
      <c r="V94" s="1"/>
      <c r="W94" s="1"/>
      <c r="X94" s="1"/>
    </row>
    <row r="95" ht="13.5" customHeight="1">
      <c r="A95" s="1"/>
      <c r="B95" s="1"/>
      <c r="C95" s="1"/>
      <c r="D95" s="1"/>
      <c r="E95" s="1"/>
      <c r="F95" s="1"/>
      <c r="G95" s="1"/>
      <c r="H95" s="1"/>
      <c r="I95" s="1"/>
      <c r="J95" s="1"/>
      <c r="K95" s="1"/>
      <c r="L95" s="1"/>
      <c r="M95" s="1"/>
      <c r="N95" s="1"/>
      <c r="O95" s="1"/>
      <c r="P95" s="1"/>
      <c r="Q95" s="1"/>
      <c r="R95" s="1"/>
      <c r="S95" s="1"/>
      <c r="T95" s="1"/>
      <c r="U95" s="1"/>
      <c r="V95" s="1"/>
      <c r="W95" s="1"/>
      <c r="X95" s="1"/>
    </row>
    <row r="96" ht="13.5" customHeight="1">
      <c r="A96" s="1"/>
      <c r="B96" s="1"/>
      <c r="C96" s="1"/>
      <c r="D96" s="1"/>
      <c r="E96" s="1"/>
      <c r="F96" s="1"/>
      <c r="G96" s="1"/>
      <c r="H96" s="1"/>
      <c r="I96" s="1"/>
      <c r="J96" s="1"/>
      <c r="K96" s="1"/>
      <c r="L96" s="1"/>
      <c r="M96" s="1"/>
      <c r="N96" s="1"/>
      <c r="O96" s="1"/>
      <c r="P96" s="1"/>
      <c r="Q96" s="1"/>
      <c r="R96" s="1"/>
      <c r="S96" s="1"/>
      <c r="T96" s="1"/>
      <c r="U96" s="1"/>
      <c r="V96" s="1"/>
      <c r="W96" s="1"/>
      <c r="X96" s="1"/>
    </row>
    <row r="97" ht="13.5" customHeight="1">
      <c r="A97" s="1"/>
      <c r="B97" s="1"/>
      <c r="C97" s="1"/>
      <c r="D97" s="1"/>
      <c r="E97" s="1"/>
      <c r="F97" s="1"/>
      <c r="G97" s="1"/>
      <c r="H97" s="1"/>
      <c r="I97" s="1"/>
      <c r="J97" s="1"/>
      <c r="K97" s="1"/>
      <c r="L97" s="1"/>
      <c r="M97" s="1"/>
      <c r="N97" s="1"/>
      <c r="O97" s="1"/>
      <c r="P97" s="1"/>
      <c r="Q97" s="1"/>
      <c r="R97" s="1"/>
      <c r="S97" s="1"/>
      <c r="T97" s="1"/>
      <c r="U97" s="1"/>
      <c r="V97" s="1"/>
      <c r="W97" s="1"/>
      <c r="X97" s="1"/>
    </row>
    <row r="98" ht="13.5" customHeight="1">
      <c r="A98" s="1"/>
      <c r="B98" s="1"/>
      <c r="C98" s="1"/>
      <c r="D98" s="1"/>
      <c r="E98" s="1"/>
      <c r="F98" s="1"/>
      <c r="G98" s="1"/>
      <c r="H98" s="1"/>
      <c r="I98" s="1"/>
      <c r="J98" s="1"/>
      <c r="K98" s="1"/>
      <c r="L98" s="1"/>
      <c r="M98" s="1"/>
      <c r="N98" s="1"/>
      <c r="O98" s="1"/>
      <c r="P98" s="1"/>
      <c r="Q98" s="1"/>
      <c r="R98" s="1"/>
      <c r="S98" s="1"/>
      <c r="T98" s="1"/>
      <c r="U98" s="1"/>
      <c r="V98" s="1"/>
      <c r="W98" s="1"/>
      <c r="X98" s="1"/>
    </row>
    <row r="99" ht="13.5" customHeight="1">
      <c r="A99" s="1"/>
      <c r="B99" s="1"/>
      <c r="C99" s="1"/>
      <c r="D99" s="1"/>
      <c r="E99" s="1"/>
      <c r="F99" s="1"/>
      <c r="G99" s="1"/>
      <c r="H99" s="1"/>
      <c r="I99" s="1"/>
      <c r="J99" s="1"/>
      <c r="K99" s="1"/>
      <c r="L99" s="1"/>
      <c r="M99" s="1"/>
      <c r="N99" s="1"/>
      <c r="O99" s="1"/>
      <c r="P99" s="1"/>
      <c r="Q99" s="1"/>
      <c r="R99" s="1"/>
      <c r="S99" s="1"/>
      <c r="T99" s="1"/>
      <c r="U99" s="1"/>
      <c r="V99" s="1"/>
      <c r="W99" s="1"/>
      <c r="X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row>
    <row r="513"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row>
    <row r="514"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row>
    <row r="515"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row>
    <row r="51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row>
    <row r="517"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row>
    <row r="518"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row>
    <row r="519"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row>
    <row r="520"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row>
    <row r="521"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row>
    <row r="522"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row>
    <row r="523"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row>
    <row r="524"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row>
    <row r="525"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row>
    <row r="5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row>
    <row r="527"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row>
    <row r="528"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row>
    <row r="529"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row>
    <row r="530"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row>
    <row r="531"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row>
    <row r="532"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row>
    <row r="533"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row>
    <row r="534"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row>
    <row r="535"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row>
    <row r="53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row>
    <row r="537"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row>
    <row r="538"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row>
    <row r="539"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row>
    <row r="540"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row>
    <row r="541"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row>
    <row r="542"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row>
    <row r="543"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row>
    <row r="544"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row>
    <row r="545"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row>
    <row r="54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row>
    <row r="547"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row>
    <row r="548"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row>
    <row r="549"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row>
    <row r="550"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row>
    <row r="551"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row>
    <row r="552"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row>
    <row r="553"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row>
    <row r="554"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row>
    <row r="555"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row>
    <row r="55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row>
    <row r="557"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row>
    <row r="558"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row>
    <row r="559"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row>
    <row r="560"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row>
    <row r="561"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row>
    <row r="562"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row>
    <row r="563"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row>
    <row r="564"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row>
    <row r="565"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row>
    <row r="56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row>
    <row r="567"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row>
    <row r="568"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row>
    <row r="569"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row>
    <row r="570"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row>
    <row r="571"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row>
    <row r="572"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row>
    <row r="573"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row>
    <row r="574"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row>
    <row r="575"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row>
    <row r="57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row>
    <row r="577"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row>
    <row r="578"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row>
    <row r="579"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row>
    <row r="580"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row>
    <row r="581"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row>
    <row r="582"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row>
    <row r="583"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row>
    <row r="584"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row>
    <row r="585"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row>
    <row r="58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row>
    <row r="587"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row>
    <row r="588"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row>
    <row r="589"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row>
    <row r="590"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row>
    <row r="591"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row>
    <row r="592"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row>
    <row r="593"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row>
    <row r="594"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row>
    <row r="595"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row>
    <row r="59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row>
    <row r="597"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row>
    <row r="598"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row>
    <row r="599"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row>
    <row r="600"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row>
    <row r="601"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row>
    <row r="602"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row>
    <row r="603"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row>
    <row r="604"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row>
    <row r="605"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row>
    <row r="60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row>
    <row r="607"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row>
    <row r="608"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row>
    <row r="609"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row>
    <row r="610"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row>
    <row r="611"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row>
    <row r="612"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row>
    <row r="613"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row>
    <row r="614"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row>
    <row r="615"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row>
    <row r="61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row>
    <row r="617"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row>
    <row r="618"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row>
    <row r="619"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row>
    <row r="620"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row>
    <row r="621"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row>
    <row r="622"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row>
    <row r="623"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row>
    <row r="624"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row>
    <row r="625"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row>
    <row r="6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row>
    <row r="627"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row>
    <row r="628"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row>
    <row r="629"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row>
    <row r="630"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row>
    <row r="631"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row>
    <row r="632"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row>
    <row r="633"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row>
    <row r="634"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row>
    <row r="635"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row>
    <row r="63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row>
    <row r="637"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row>
    <row r="638"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row>
    <row r="639"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row>
    <row r="640"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row>
    <row r="641"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row>
    <row r="642"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row>
    <row r="643"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row>
    <row r="644"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row>
    <row r="645"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row>
    <row r="64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row>
    <row r="647"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row>
    <row r="648"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row>
    <row r="649"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row>
    <row r="650"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row>
    <row r="651"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row>
    <row r="652"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row>
    <row r="653"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row>
    <row r="654"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row>
    <row r="655"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row>
    <row r="65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row>
    <row r="657"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row>
    <row r="658"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row>
    <row r="659"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row>
    <row r="660"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row>
    <row r="661"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row>
    <row r="662"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row>
    <row r="663"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row>
    <row r="664"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row>
    <row r="665"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row>
    <row r="66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row>
    <row r="667"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row>
    <row r="668"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row>
    <row r="669"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row>
    <row r="670"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row>
    <row r="671"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row>
    <row r="672"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row>
    <row r="673"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row>
    <row r="674"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row>
    <row r="675"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row>
    <row r="67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row>
    <row r="677"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row>
    <row r="678"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row>
    <row r="679"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row>
    <row r="680"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row>
    <row r="681"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row>
    <row r="682"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row>
    <row r="683"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row>
    <row r="684"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row>
    <row r="685"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row>
    <row r="68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row>
    <row r="687"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row>
    <row r="688"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row>
    <row r="689"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row>
    <row r="690"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row>
    <row r="691"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row>
    <row r="692"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row>
    <row r="693"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row>
    <row r="694"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row>
    <row r="695"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row>
    <row r="69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row>
    <row r="697"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row>
    <row r="698"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row>
    <row r="699"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row>
    <row r="700"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row>
    <row r="701"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row>
    <row r="702"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row>
    <row r="703"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row>
    <row r="704"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row>
    <row r="705"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row>
    <row r="70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row>
    <row r="707"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row>
    <row r="708"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row>
    <row r="709"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row>
    <row r="710"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row>
    <row r="711"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row>
    <row r="712"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row>
    <row r="713"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row>
    <row r="714"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row>
    <row r="715"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row>
    <row r="71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row>
    <row r="717"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row>
    <row r="718"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row>
    <row r="719"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row>
    <row r="720"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row>
    <row r="721"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row>
    <row r="722"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row>
    <row r="723"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row>
    <row r="724"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row>
    <row r="725"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row>
    <row r="7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row>
    <row r="727"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row>
    <row r="728"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row>
    <row r="729"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row>
    <row r="730"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row>
    <row r="731"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row>
    <row r="732"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row>
    <row r="733"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row>
    <row r="734"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row>
    <row r="735"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row>
    <row r="73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row>
    <row r="737"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row>
    <row r="738"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row>
    <row r="739"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row>
    <row r="740"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row>
    <row r="741"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row>
    <row r="742"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row>
    <row r="743"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row>
    <row r="744"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row>
    <row r="745"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row>
    <row r="74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row>
    <row r="747"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row>
    <row r="748"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row>
    <row r="749"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row>
    <row r="750"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row>
    <row r="751"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row>
    <row r="752"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row>
    <row r="753"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row>
    <row r="754"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row>
    <row r="755"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row>
    <row r="75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row>
    <row r="757"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row>
    <row r="758"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row>
    <row r="759"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row>
    <row r="760"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row>
    <row r="761"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row>
    <row r="762"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row>
    <row r="763"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row>
    <row r="764"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row>
    <row r="765"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row>
    <row r="76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row>
    <row r="767"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row>
    <row r="768"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row>
    <row r="769"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row>
    <row r="770"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row>
    <row r="771"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row>
    <row r="772"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row>
    <row r="773"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row>
    <row r="774"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row>
    <row r="775"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row>
    <row r="77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row>
    <row r="777"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row>
    <row r="778"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row>
    <row r="779"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row>
    <row r="780"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row>
    <row r="781"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row>
    <row r="782"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row>
    <row r="783"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row>
    <row r="784"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row>
    <row r="785"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row>
    <row r="78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row>
    <row r="787"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row>
    <row r="788"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row>
    <row r="789"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row>
    <row r="790"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row>
    <row r="791"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row>
    <row r="792"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row>
    <row r="793"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row>
    <row r="794"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row>
    <row r="795"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row>
    <row r="79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row>
    <row r="797"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row>
    <row r="798"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row>
    <row r="799"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row>
    <row r="800"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row>
    <row r="801"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row>
    <row r="802"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row>
    <row r="803"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row>
    <row r="804"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row>
    <row r="805"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row>
    <row r="80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row>
    <row r="807"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row>
    <row r="808"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row>
    <row r="809"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row>
    <row r="810"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row>
    <row r="811"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row>
    <row r="812"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row>
    <row r="813"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row>
    <row r="814"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row>
    <row r="815"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row>
    <row r="81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row>
    <row r="817"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row>
    <row r="818"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row>
    <row r="819"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row>
    <row r="820"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row>
    <row r="821"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row>
    <row r="822"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row>
    <row r="823"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row>
    <row r="824"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row>
    <row r="825"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row>
    <row r="8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row>
    <row r="827"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row>
    <row r="828"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row>
    <row r="829"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row>
    <row r="830"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row>
    <row r="831"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row>
    <row r="832"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row>
    <row r="833"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row>
    <row r="834"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row>
    <row r="835"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row>
    <row r="83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row>
    <row r="837"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row>
    <row r="838"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row>
    <row r="839"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row>
    <row r="840"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row>
    <row r="841"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row>
    <row r="842"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row>
    <row r="843"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row>
    <row r="844"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row>
    <row r="845"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row>
    <row r="84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row>
    <row r="847"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row>
    <row r="848"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row>
    <row r="849"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row>
    <row r="850"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row>
    <row r="851"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row>
    <row r="852"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row>
    <row r="853"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row>
    <row r="854"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row>
    <row r="855"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row>
    <row r="85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row>
    <row r="857"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row>
    <row r="858"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row>
    <row r="859"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row>
    <row r="860"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row>
    <row r="861"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row>
    <row r="862"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row>
    <row r="863"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row>
    <row r="864"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row>
    <row r="865"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row>
    <row r="86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row>
    <row r="867"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row>
    <row r="868"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row>
    <row r="869"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row>
    <row r="870"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row>
    <row r="871"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row>
    <row r="872"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row>
    <row r="873"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row>
    <row r="874"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row>
    <row r="875"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row>
    <row r="87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row>
    <row r="877"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row>
    <row r="878"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row>
    <row r="879"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row>
    <row r="880"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row>
    <row r="881"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row>
    <row r="882"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row>
    <row r="883"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row>
    <row r="884"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row>
    <row r="885"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row>
    <row r="88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row>
    <row r="887"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row>
    <row r="888"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row>
    <row r="889"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row>
    <row r="890"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row>
    <row r="891"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row>
    <row r="892"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row>
    <row r="893"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row>
    <row r="894"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row>
    <row r="895"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row>
    <row r="89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row>
    <row r="897"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row>
    <row r="898"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row>
    <row r="899"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row>
    <row r="900"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row>
    <row r="901"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row>
    <row r="902"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row>
    <row r="903"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row>
    <row r="904"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row>
    <row r="905"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row>
    <row r="90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row>
    <row r="907"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row>
    <row r="908"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row>
    <row r="909"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row>
    <row r="910"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row>
    <row r="911"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row>
    <row r="912"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row>
    <row r="913"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row>
    <row r="914"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row>
    <row r="915"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row>
    <row r="91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row>
    <row r="917"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row>
    <row r="918"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row>
    <row r="919"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row>
    <row r="920"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row>
    <row r="921"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row>
    <row r="922"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row>
    <row r="923"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row>
    <row r="924"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row>
    <row r="925"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row>
    <row r="9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row>
    <row r="927"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row>
    <row r="928"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row>
    <row r="929"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row>
    <row r="930"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row>
    <row r="931"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row>
    <row r="932"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row>
    <row r="933"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row>
    <row r="934"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row>
    <row r="935"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row>
    <row r="93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row>
    <row r="937"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row>
    <row r="938"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row>
    <row r="939"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row>
    <row r="940"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row>
    <row r="941"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row>
    <row r="942"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row>
    <row r="943"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row>
    <row r="944"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row>
    <row r="945"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row>
    <row r="94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row>
    <row r="947"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row>
    <row r="948"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row>
    <row r="949"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row>
    <row r="950"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row>
    <row r="951"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row>
    <row r="952"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row>
    <row r="953"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row>
    <row r="954"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row>
    <row r="955"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row>
    <row r="95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row>
    <row r="957"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row>
    <row r="958"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row>
    <row r="959"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row>
    <row r="960"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row>
    <row r="961"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row>
    <row r="962"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row>
    <row r="963"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row>
    <row r="964"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row>
    <row r="965"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row>
    <row r="96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row>
    <row r="967"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row>
    <row r="968"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row>
    <row r="969"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row>
    <row r="970"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row>
    <row r="971"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row>
    <row r="972"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row>
    <row r="973"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row>
    <row r="974"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row>
    <row r="975"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row>
    <row r="97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row>
    <row r="977"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row>
    <row r="978"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row>
    <row r="979"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row>
    <row r="980"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row>
    <row r="981"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row>
    <row r="982"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row>
    <row r="983"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row>
    <row r="984"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row>
    <row r="985"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row>
    <row r="98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row>
    <row r="987"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row>
    <row r="988"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row>
    <row r="989"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row>
    <row r="990"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row>
    <row r="991"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row>
    <row r="992"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row>
    <row r="993"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row>
    <row r="994"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row>
    <row r="995"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row>
    <row r="99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row>
    <row r="997"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row>
    <row r="998"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row>
    <row r="999"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row>
    <row r="1000"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row>
    <row r="1001" ht="13.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row>
    <row r="1002" ht="13.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row>
    <row r="1003" ht="13.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row>
    <row r="1004" ht="13.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row>
    <row r="1005" ht="13.5" customHeight="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row>
    <row r="1006" ht="13.5" customHeight="1">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row>
    <row r="1007" ht="13.5" customHeight="1">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row>
  </sheetData>
  <mergeCells count="2">
    <mergeCell ref="C6:E6"/>
    <mergeCell ref="C7:E7"/>
  </mergeCells>
  <printOptions/>
  <pageMargins bottom="0.38" footer="0.0" header="0.0" left="0.37" right="0.47" top="0.5"/>
  <pageSetup paperSize="9" orientation="landscape"/>
  <headerFooter>
    <oddFooter>&amp;L 02ae-BM/PM/HDCV/FSOFT v1/0&amp;R&amp;P/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75"/>
    <col customWidth="1" min="2" max="2" width="21.0"/>
    <col customWidth="1" min="3" max="3" width="27.5"/>
    <col customWidth="1" min="4" max="4" width="21.5"/>
    <col customWidth="1" min="5" max="5" width="22.25"/>
    <col customWidth="1" min="6" max="6" width="23.13"/>
    <col customWidth="1" min="7" max="7" width="21.75"/>
    <col customWidth="1" min="8" max="8" width="21.63"/>
    <col customWidth="1" min="9" max="9" width="22.38"/>
  </cols>
  <sheetData>
    <row r="3">
      <c r="A3" s="2" t="s">
        <v>0</v>
      </c>
    </row>
    <row r="5" ht="23.25" customHeight="1">
      <c r="B5" s="6" t="s">
        <v>2</v>
      </c>
      <c r="E5" s="9"/>
      <c r="F5" s="4"/>
      <c r="G5" s="4"/>
      <c r="H5" s="1"/>
      <c r="I5" s="1"/>
      <c r="J5" s="1"/>
      <c r="K5" s="1"/>
    </row>
    <row r="6" ht="16.5" customHeight="1">
      <c r="F6" s="13"/>
      <c r="G6" s="4"/>
      <c r="H6" s="1"/>
      <c r="I6" s="1"/>
      <c r="J6" s="1"/>
      <c r="K6" s="1"/>
    </row>
    <row r="7">
      <c r="B7" s="17" t="s">
        <v>8</v>
      </c>
      <c r="C7" s="7"/>
      <c r="D7" s="7"/>
      <c r="E7" s="7"/>
      <c r="F7" s="4"/>
      <c r="G7" s="4"/>
      <c r="H7" s="1"/>
      <c r="I7" s="1"/>
      <c r="J7" s="1"/>
      <c r="K7" s="1"/>
    </row>
    <row r="8">
      <c r="C8" s="1"/>
      <c r="D8" s="1"/>
      <c r="E8" s="1"/>
      <c r="F8" s="1"/>
      <c r="G8" s="1"/>
      <c r="H8" s="1"/>
      <c r="I8" s="1"/>
      <c r="J8" s="1"/>
      <c r="K8" s="1"/>
    </row>
    <row r="9" ht="36.0" customHeight="1">
      <c r="B9" s="22" t="s">
        <v>11</v>
      </c>
      <c r="C9" s="23" t="s">
        <v>12</v>
      </c>
      <c r="D9" s="23" t="s">
        <v>13</v>
      </c>
      <c r="E9" s="23" t="s">
        <v>14</v>
      </c>
      <c r="F9" s="23" t="s">
        <v>15</v>
      </c>
      <c r="G9" s="25" t="s">
        <v>16</v>
      </c>
      <c r="H9" s="27" t="s">
        <v>19</v>
      </c>
      <c r="I9" s="30" t="s">
        <v>22</v>
      </c>
      <c r="J9" s="32"/>
      <c r="K9" s="32"/>
    </row>
    <row r="10" ht="54.75" customHeight="1">
      <c r="B10" s="35">
        <v>1.0</v>
      </c>
      <c r="C10" s="37" t="s">
        <v>27</v>
      </c>
      <c r="D10" s="40">
        <f>COUNTIF(LOG!A:A,"TC-*")</f>
        <v>10</v>
      </c>
      <c r="E10" s="43">
        <f>COUNTIF(LOG!I:I,"Pass")</f>
        <v>9</v>
      </c>
      <c r="F10" s="43">
        <f>COUNTIF(LOG!I:I,"Fail")</f>
        <v>1</v>
      </c>
      <c r="G10" s="49">
        <f>COUNTIF(LOG!L:L,"Pass")</f>
        <v>1</v>
      </c>
      <c r="H10" s="51">
        <f>COUNTIF(LOG!I:I,"Pass")+COUNTIFS(LOG!I:I,"Fail",LOG!L:L,"Pass")</f>
        <v>10</v>
      </c>
      <c r="I10" s="51">
        <f>COUNTIFS(LOG!I:I,"Fail",LOG!L:L,"&lt;&gt;Pass")</f>
        <v>0</v>
      </c>
      <c r="J10" s="32"/>
      <c r="K10" s="32"/>
    </row>
    <row r="11" ht="50.25" customHeight="1">
      <c r="B11" s="35">
        <v>2.0</v>
      </c>
      <c r="C11" s="37" t="s">
        <v>47</v>
      </c>
      <c r="D11" s="54">
        <f>COUNTIF(REGISTER!A:A,"TC-*")</f>
        <v>19</v>
      </c>
      <c r="E11" s="43">
        <f>COUNTIF(REGISTER!I:I,"Pass")</f>
        <v>11</v>
      </c>
      <c r="F11" s="43">
        <f>COUNTIF(REGISTER!I:I,"Fail")</f>
        <v>8</v>
      </c>
      <c r="G11" s="55">
        <f>COUNTIF(REGISTER!L:L,"Pass")</f>
        <v>8</v>
      </c>
      <c r="H11" s="51">
        <f>COUNTIF(REGISTER!I:I,"Pass")+COUNTIFS(REGISTER!I:I,"Fail",REGISTER!L:L,"Pass")</f>
        <v>19</v>
      </c>
      <c r="I11" s="51">
        <f>COUNTIFS(REGISTER!I:I,"Fail",REGISTER!L:L,"&lt;&gt;Pass")</f>
        <v>0</v>
      </c>
      <c r="J11" s="32"/>
      <c r="K11" s="32"/>
    </row>
    <row r="12" ht="51.0" customHeight="1">
      <c r="B12" s="35">
        <v>3.0</v>
      </c>
      <c r="C12" s="37" t="s">
        <v>74</v>
      </c>
      <c r="D12" s="54">
        <f>COUNTIF(BOOKING!A:A,"TC-*")</f>
        <v>10</v>
      </c>
      <c r="E12" s="43">
        <f>COUNTIF(BOOKING!I:I,"Pass")</f>
        <v>8</v>
      </c>
      <c r="F12" s="43">
        <f>COUNTIF(BOOKING!I:I,"Fail")</f>
        <v>2</v>
      </c>
      <c r="G12" s="55">
        <f>COUNTIF(BOOKING!L:L,"Pass")</f>
        <v>1</v>
      </c>
      <c r="H12" s="51">
        <f>COUNTIF(BOOKING!I:I,"Pass")+COUNTIFS(BOOKING!I:I,"Fail",BOOKING!L:L,"Pass")</f>
        <v>9</v>
      </c>
      <c r="I12" s="51">
        <f>COUNTIFS(BOOKING!I:I,"Fail",BOOKING!L:L,"&lt;&gt;Pass")</f>
        <v>1</v>
      </c>
      <c r="J12" s="53"/>
      <c r="K12" s="53"/>
    </row>
    <row r="13" ht="54.0" customHeight="1">
      <c r="B13" s="35">
        <v>4.0</v>
      </c>
      <c r="C13" s="37" t="s">
        <v>94</v>
      </c>
      <c r="D13" s="54">
        <f>COUNTIF(APPOINTMENT!A:A,"TC-*")</f>
        <v>9</v>
      </c>
      <c r="E13" s="43">
        <f>COUNTIF(APPOINTMENT!I:I,"Pass")</f>
        <v>5</v>
      </c>
      <c r="F13" s="43">
        <f>COUNTIF(APPOINTMENT!I:I,"Fail")</f>
        <v>4</v>
      </c>
      <c r="G13" s="43">
        <f>COUNTIF(APPOINTMENT!L:L,"Pass")</f>
        <v>3</v>
      </c>
      <c r="H13" s="74">
        <f>COUNTIF(APPOINTMENT!I:I,"Pass")+COUNTIFS(APPOINTMENT!I:I,"Fail",APPOINTMENT!L:L,"Pass")</f>
        <v>8</v>
      </c>
      <c r="I13" s="74">
        <f>COUNTIFS(APPOINTMENT!I:I,"Fail",APPOINTMENT!L:L,"&lt;&gt;Pass")</f>
        <v>1</v>
      </c>
      <c r="J13" s="53"/>
      <c r="K13" s="53"/>
    </row>
    <row r="14" ht="48.75" customHeight="1">
      <c r="B14" s="35">
        <v>5.0</v>
      </c>
      <c r="C14" s="37" t="s">
        <v>98</v>
      </c>
      <c r="D14" s="54">
        <f>COUNTIF(MEDICAL!A:A,"TC-*")</f>
        <v>9</v>
      </c>
      <c r="E14" s="43">
        <f>COUNTIF(MEDICAL!I:I,"Pass")</f>
        <v>7</v>
      </c>
      <c r="F14" s="43">
        <f>COUNTIF(MEDICAL!I:I,"Fail")</f>
        <v>2</v>
      </c>
      <c r="G14" s="43">
        <f>COUNTIF(MEDICAL!L:L,"Pass")</f>
        <v>2</v>
      </c>
      <c r="H14" s="74">
        <f>COUNTIF(MEDICAL!I:I,"Pass")+COUNTIFS(MEDICAL!I:I,"Fail",MEDICAL!L:L,"Pass")</f>
        <v>9</v>
      </c>
      <c r="I14" s="74">
        <f>COUNTIFS(MEDICAL!I:I,"Fail",MEDICAL!L:L,"&lt;&gt;Pass")</f>
        <v>0</v>
      </c>
      <c r="J14" s="32"/>
      <c r="K14" s="32"/>
    </row>
    <row r="15" ht="49.5" customHeight="1">
      <c r="B15" s="35">
        <v>6.0</v>
      </c>
      <c r="C15" s="37" t="s">
        <v>100</v>
      </c>
      <c r="D15" s="54">
        <f>COUNTIF(DS_ADMIN!A:A,"TC-*")</f>
        <v>20</v>
      </c>
      <c r="E15" s="43">
        <f>COUNTIF(DS_ADMIN!I:I,"Pass")</f>
        <v>13</v>
      </c>
      <c r="F15" s="43">
        <f>COUNTIF(DS_ADMIN!I:I,"Fail")</f>
        <v>7</v>
      </c>
      <c r="G15" s="43">
        <f>COUNTIF(DS_ADMIN!L:L,"Pass")</f>
        <v>6</v>
      </c>
      <c r="H15" s="74">
        <f>COUNTIF(DS_ADMIN!I:I,"Pass")+COUNTIFS(DS_ADMIN!I:I,"Fail",DS_ADMIN!L:L,"Pass")</f>
        <v>19</v>
      </c>
      <c r="I15" s="74">
        <f>COUNTIFS(DS_ADMIN!I:I,"Fail",DS_ADMIN!L:L,"&lt;&gt;Pass")</f>
        <v>1</v>
      </c>
      <c r="J15" s="32"/>
      <c r="K15" s="32"/>
    </row>
    <row r="16" ht="44.25" customHeight="1">
      <c r="B16" s="35">
        <v>7.0</v>
      </c>
      <c r="C16" s="37" t="s">
        <v>105</v>
      </c>
      <c r="D16" s="54">
        <f>COUNTIF(MYAPPOINTMENT!A:A,"TC-*")</f>
        <v>5</v>
      </c>
      <c r="E16" s="43">
        <f>COUNTIF(MYAPPOINTMENT!I:I,"Pass")</f>
        <v>5</v>
      </c>
      <c r="F16" s="43">
        <f>COUNTIF(MYAPPOINTMENT!I:I,"Fail")</f>
        <v>0</v>
      </c>
      <c r="G16" s="43">
        <f>COUNTIF(MYAPPOINTMENT!L:L,"Pass")</f>
        <v>0</v>
      </c>
      <c r="H16" s="74">
        <f>COUNTIF(MYAPPOINTMENT!I:I,"Pass")+COUNTIFS(MYAPPOINTMENT!I:I,"Fail",MYAPPOINTMENT!L:L,"Pass")</f>
        <v>5</v>
      </c>
      <c r="I16" s="74">
        <f>COUNTIFS(MYAPPOINTMENT!I:I,"Fail",MYAPPOINTMENT!L:L,"&lt;&gt;Pass")</f>
        <v>0</v>
      </c>
      <c r="J16" s="32"/>
      <c r="K16" s="32"/>
    </row>
    <row r="17" ht="56.25" customHeight="1">
      <c r="B17" s="35">
        <v>8.0</v>
      </c>
      <c r="C17" s="37" t="s">
        <v>108</v>
      </c>
      <c r="D17" s="54">
        <f>COUNTIF(HISTORY!A:A,"TC-*")</f>
        <v>6</v>
      </c>
      <c r="E17" s="43">
        <f>COUNTIF(HISTORY!I:I,"Pass")</f>
        <v>5</v>
      </c>
      <c r="F17" s="43">
        <f>COUNTIF(HISTORY!I:I,"Fail")</f>
        <v>1</v>
      </c>
      <c r="G17" s="43">
        <f>COUNTIF(HISTORY!L:L,"Pass")</f>
        <v>1</v>
      </c>
      <c r="H17" s="74">
        <f>COUNTIF(HISTORY!I:I,"Pass")+COUNTIFS(HISTORY!I:I,"Fail",HISTORY!L:L,"Pass")</f>
        <v>6</v>
      </c>
      <c r="I17" s="74">
        <f>COUNTIFS(HISTORY!I:I,"Fail",HISTORY!L:L,"&lt;&gt;Pass")</f>
        <v>0</v>
      </c>
      <c r="J17" s="32"/>
      <c r="K17" s="32"/>
    </row>
    <row r="18" ht="59.25" customHeight="1">
      <c r="B18" s="35">
        <v>9.0</v>
      </c>
      <c r="C18" s="37" t="s">
        <v>114</v>
      </c>
      <c r="D18" s="54">
        <f>COUNTIF(WORKSCHEDULE!A:A,"TC-*")</f>
        <v>5</v>
      </c>
      <c r="E18" s="43">
        <f>COUNTIF(WORKSCHEDULE!I:I,"Pass")</f>
        <v>5</v>
      </c>
      <c r="F18" s="43">
        <f>COUNTIF(WORKSCHEDULE!I:I,"Fail")</f>
        <v>0</v>
      </c>
      <c r="G18" s="43">
        <f>COUNTIF(WORKSCHEDULE!L:L,"Pass")</f>
        <v>0</v>
      </c>
      <c r="H18" s="74">
        <f>COUNTIF(WORKSCHEDULE!I:I,"Pass")+COUNTIFS(WORKSCHEDULE!I:I,"Fail",WORKSCHEDULE!L:L,"Pass")</f>
        <v>5</v>
      </c>
      <c r="I18" s="74">
        <f>COUNTIFS(WORKSCHEDULE!I:I,"Fail",WORKSCHEDULE!L:L,"&lt;&gt;Pass")</f>
        <v>0</v>
      </c>
      <c r="J18" s="32"/>
      <c r="K18" s="32"/>
    </row>
    <row r="19" ht="54.0" customHeight="1">
      <c r="B19" s="35">
        <v>10.0</v>
      </c>
      <c r="C19" s="37" t="s">
        <v>115</v>
      </c>
      <c r="D19" s="54">
        <f>COUNTIF(NOTIFICATION!A:A,"TC-*")</f>
        <v>9</v>
      </c>
      <c r="E19" s="43">
        <f>COUNTIF(NOTIFICATION!I:I,"Pass")</f>
        <v>4</v>
      </c>
      <c r="F19" s="43">
        <f>COUNTIF(NOTIFICATION!I:I,"Fail")</f>
        <v>5</v>
      </c>
      <c r="G19" s="43">
        <f>COUNTIF(NOTIFICATION!L:L,"Pass")</f>
        <v>4</v>
      </c>
      <c r="H19" s="74">
        <f>COUNTIF(NOTIFICATION!I:I,"Pass")+COUNTIFS(NOTIFICATION!I:I,"Fail",NOTIFICATION!L:L,"Pass")</f>
        <v>8</v>
      </c>
      <c r="I19" s="74">
        <f>COUNTIFS(NOTIFICATION!I:I,"Fail",NOTIFICATION!L:L,"&lt;&gt;Pass")</f>
        <v>1</v>
      </c>
      <c r="J19" s="32"/>
      <c r="K19" s="32"/>
    </row>
    <row r="20" ht="49.5" customHeight="1">
      <c r="B20" s="35">
        <v>11.0</v>
      </c>
      <c r="C20" s="37" t="s">
        <v>116</v>
      </c>
      <c r="D20" s="54">
        <f>COUNTIF(DOCTOR!A:A,"TC-*")</f>
        <v>4</v>
      </c>
      <c r="E20" s="43">
        <f>COUNTIF(DOCTOR!I:I,"Pass")</f>
        <v>4</v>
      </c>
      <c r="F20" s="43">
        <f>COUNTIF(DOCTOR!I:I,"Fail")</f>
        <v>0</v>
      </c>
      <c r="G20" s="43">
        <f>COUNTIF(DOCTOR!L:L,"Pass")</f>
        <v>0</v>
      </c>
      <c r="H20" s="74">
        <f>COUNTIF(DOCTOR!I:I,"Pass")+COUNTIFS(DOCTOR!I:I,"Fail",DOCTOR!L:L,"Pass")</f>
        <v>4</v>
      </c>
      <c r="I20" s="74">
        <f>COUNTIFS(DOCTOR!I:I,"Fail",DOCTOR!L:L,"&lt;&gt;Pass")</f>
        <v>0</v>
      </c>
      <c r="J20" s="32"/>
      <c r="K20" s="32"/>
    </row>
    <row r="21" ht="51.0" customHeight="1">
      <c r="B21" s="35">
        <v>12.0</v>
      </c>
      <c r="C21" s="37" t="s">
        <v>117</v>
      </c>
      <c r="D21" s="54">
        <f>COUNTIF(SPECIALTY!A:A,"TC-*")</f>
        <v>5</v>
      </c>
      <c r="E21" s="43">
        <f>COUNTIF(SPECIALTY!I:I,"Pass")</f>
        <v>5</v>
      </c>
      <c r="F21" s="43">
        <f>COUNTIF(SPECIALTY!I:I,"Fail")</f>
        <v>0</v>
      </c>
      <c r="G21" s="43">
        <f>COUNTIF(SPECIALTY!L:L,"Pass")</f>
        <v>0</v>
      </c>
      <c r="H21" s="74">
        <f>COUNTIF(SPECIALTY!I:I,"Pass")+COUNTIFS(SPECIALTY!I:I,"Fail",SPECIALTY!L:L,"Pass")</f>
        <v>5</v>
      </c>
      <c r="I21" s="74">
        <f>COUNTIFS(SPECIALTY!I:I,"Fail",SPECIALTY!L:L,"&lt;&gt;Pass")</f>
        <v>0</v>
      </c>
      <c r="J21" s="32"/>
      <c r="K21" s="32"/>
    </row>
    <row r="22" ht="48.75" customHeight="1">
      <c r="B22" s="35">
        <v>13.0</v>
      </c>
      <c r="C22" s="37" t="s">
        <v>118</v>
      </c>
      <c r="D22" s="54">
        <f>COUNTIF(DRUG_CATEGORY!A:A,"TC-*")</f>
        <v>11</v>
      </c>
      <c r="E22" s="43">
        <f>COUNTIF(DRUG_CATEGORY!I:I,"Pass")</f>
        <v>10</v>
      </c>
      <c r="F22" s="43">
        <f>COUNTIF(DRUG_CATEGORY!I:I,"Fail")</f>
        <v>1</v>
      </c>
      <c r="G22" s="43">
        <f>COUNTIF(DRUG_CATEGORY!L:L,"Pass")</f>
        <v>0</v>
      </c>
      <c r="H22" s="74">
        <f>COUNTIF(DRUG_CATEGORY!I:I,"Pass")+COUNTIFS(DRUG_CATEGORY!I:I,"Fail",DRUG_CATEGORY!L:L,"Pass")</f>
        <v>10</v>
      </c>
      <c r="I22" s="74">
        <f>COUNTIFS(DRUG_CATEGORY!I:I,"Fail",DRUG_CATEGORY!L:L,"&lt;&gt;Pass")</f>
        <v>1</v>
      </c>
      <c r="J22" s="32"/>
      <c r="K22" s="32"/>
    </row>
    <row r="23" ht="48.75" customHeight="1">
      <c r="B23" s="35">
        <v>14.0</v>
      </c>
      <c r="C23" s="37" t="s">
        <v>121</v>
      </c>
      <c r="D23" s="89">
        <f>COUNTIF(STAT!A:A,"TC-*")</f>
        <v>4</v>
      </c>
      <c r="E23" s="92">
        <f>COUNTIF(STAT!I:I,"Pass")</f>
        <v>4</v>
      </c>
      <c r="F23" s="92">
        <f>COUNTIF(STAT!I:I,"Fail")</f>
        <v>0</v>
      </c>
      <c r="G23" s="92">
        <f>COUNTIF(STAT!L:L,"Pass")</f>
        <v>0</v>
      </c>
      <c r="H23" s="94">
        <f>COUNTIF(STAT!I:I,"Pass")+COUNTIFS(STAT!I:I,"Fail",STAT!L:L,"Pass")</f>
        <v>4</v>
      </c>
      <c r="I23" s="94">
        <f>COUNTIFS(STAT!I:I,"Fail",STAT!L:L,"&lt;&gt;Pass")</f>
        <v>0</v>
      </c>
      <c r="J23" s="32"/>
      <c r="K23" s="32"/>
    </row>
    <row r="24" ht="56.25" customHeight="1">
      <c r="B24" s="95" t="s">
        <v>126</v>
      </c>
      <c r="C24" s="96"/>
      <c r="D24" s="97">
        <f t="shared" ref="D24:I24" si="1">SUM(D9:D23)</f>
        <v>126</v>
      </c>
      <c r="E24" s="98">
        <f t="shared" si="1"/>
        <v>95</v>
      </c>
      <c r="F24" s="98">
        <f t="shared" si="1"/>
        <v>31</v>
      </c>
      <c r="G24" s="98">
        <f t="shared" si="1"/>
        <v>26</v>
      </c>
      <c r="H24" s="99">
        <f t="shared" si="1"/>
        <v>121</v>
      </c>
      <c r="I24" s="99">
        <f t="shared" si="1"/>
        <v>5</v>
      </c>
      <c r="J24" s="32"/>
      <c r="K24" s="32"/>
    </row>
    <row r="25" ht="29.25" customHeight="1">
      <c r="B25" s="100"/>
      <c r="C25" s="101"/>
      <c r="D25" s="53"/>
      <c r="E25" s="53"/>
      <c r="F25" s="53"/>
      <c r="G25" s="53"/>
      <c r="H25" s="53"/>
      <c r="I25" s="53"/>
      <c r="J25" s="32"/>
      <c r="K25" s="32"/>
    </row>
    <row r="26">
      <c r="B26" s="1"/>
      <c r="C26" s="1"/>
      <c r="D26" s="1"/>
      <c r="E26" s="1"/>
      <c r="F26" s="1"/>
      <c r="G26" s="1"/>
      <c r="H26" s="1"/>
      <c r="I26" s="1"/>
      <c r="J26" s="1"/>
      <c r="K26" s="1"/>
    </row>
    <row r="27">
      <c r="B27" s="1"/>
      <c r="C27" s="1"/>
      <c r="D27" s="1"/>
      <c r="E27" s="1"/>
      <c r="F27" s="1"/>
      <c r="G27" s="1"/>
      <c r="H27" s="1"/>
      <c r="I27" s="1"/>
      <c r="J27" s="1"/>
      <c r="K27" s="1"/>
    </row>
  </sheetData>
  <mergeCells count="2">
    <mergeCell ref="B5:D5"/>
    <mergeCell ref="B24:C2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88"/>
    <col customWidth="1" min="3" max="3" width="35.63"/>
    <col customWidth="1" min="4" max="6" width="8.88"/>
    <col customWidth="1" min="7" max="7" width="18.88"/>
    <col customWidth="1" min="8" max="26" width="8.88"/>
  </cols>
  <sheetData>
    <row r="1" ht="13.5" customHeight="1">
      <c r="A1" s="3" t="s">
        <v>1</v>
      </c>
      <c r="B1" s="5"/>
      <c r="C1" s="7"/>
      <c r="D1" s="7"/>
      <c r="E1" s="7"/>
      <c r="F1" s="7"/>
      <c r="G1" s="10"/>
    </row>
    <row r="2" ht="14.25" customHeight="1">
      <c r="A2" s="3"/>
      <c r="B2" s="5"/>
      <c r="C2" s="7"/>
      <c r="D2" s="7"/>
      <c r="E2" s="7"/>
      <c r="F2" s="7"/>
      <c r="G2" s="10"/>
    </row>
    <row r="3" ht="13.5" customHeight="1">
      <c r="B3" s="7" t="s">
        <v>5</v>
      </c>
      <c r="C3" s="15" t="s">
        <v>7</v>
      </c>
      <c r="D3" s="7"/>
      <c r="E3" s="7"/>
      <c r="F3" s="7"/>
      <c r="G3" s="10"/>
    </row>
    <row r="4" ht="13.5" customHeight="1">
      <c r="B4" s="7" t="s">
        <v>9</v>
      </c>
      <c r="C4" s="19">
        <v>46257.0</v>
      </c>
      <c r="D4" s="7"/>
      <c r="E4" s="7"/>
      <c r="F4" s="7"/>
      <c r="G4" s="7"/>
    </row>
    <row r="5" ht="13.5" customHeight="1">
      <c r="A5" s="7"/>
      <c r="B5" s="7"/>
      <c r="C5" s="7"/>
      <c r="D5" s="7"/>
      <c r="E5" s="7"/>
      <c r="F5" s="7"/>
      <c r="G5" s="7"/>
    </row>
    <row r="6" ht="13.5" customHeight="1">
      <c r="A6" s="7"/>
      <c r="B6" s="7"/>
      <c r="C6" s="7"/>
      <c r="D6" s="7"/>
      <c r="E6" s="7"/>
      <c r="F6" s="7"/>
      <c r="G6" s="7"/>
    </row>
    <row r="7" ht="13.5" customHeight="1">
      <c r="A7" s="7"/>
      <c r="B7" s="26" t="s">
        <v>17</v>
      </c>
      <c r="C7" s="29" t="s">
        <v>21</v>
      </c>
      <c r="D7" s="33" t="s">
        <v>23</v>
      </c>
      <c r="E7" s="29" t="s">
        <v>24</v>
      </c>
      <c r="F7" s="29" t="s">
        <v>25</v>
      </c>
      <c r="G7" s="36" t="s">
        <v>26</v>
      </c>
    </row>
    <row r="8" ht="19.5" customHeight="1">
      <c r="A8" s="38"/>
      <c r="B8" s="39">
        <f t="shared" ref="B8:B21" si="1">ROW()-7</f>
        <v>1</v>
      </c>
      <c r="C8" s="46" t="str">
        <f>LOG!B4</f>
        <v>AUTH - Login</v>
      </c>
      <c r="D8" s="52">
        <f>COUNTIFS(LOG!A:A,"TC-*",LOG!L:L,"Pass")+COUNTIFS(LOG!A:A,"TC-*",LOG!L:L,"",LOG!I:I,"Pass")</f>
        <v>10</v>
      </c>
      <c r="E8" s="57">
        <f>COUNTIFS(LOG!A:A,"TC-*",LOG!L:L,"Fail")+COUNTIFS(LOG!A:A,"TC-*",LOG!L:L,"",LOG!I:I,"Fail")</f>
        <v>0</v>
      </c>
      <c r="F8" s="57">
        <f>COUNTIFS(LOG!A:A,"TC-*",LOG!L:L,"Pending")+COUNTIFS(LOG!A:A,"TC-*",LOG!L:L,"",LOG!I:I,"Pending")</f>
        <v>0</v>
      </c>
      <c r="G8" s="64">
        <f>COUNTIF(LOG!A:A,"TC-*")</f>
        <v>10</v>
      </c>
      <c r="H8" s="65"/>
      <c r="I8" s="65"/>
      <c r="J8" s="65"/>
      <c r="K8" s="65"/>
      <c r="L8" s="65"/>
      <c r="M8" s="65"/>
      <c r="N8" s="65"/>
      <c r="O8" s="65"/>
      <c r="P8" s="65"/>
      <c r="Q8" s="65"/>
      <c r="R8" s="65"/>
      <c r="S8" s="65"/>
      <c r="T8" s="65"/>
      <c r="U8" s="65"/>
      <c r="V8" s="65"/>
      <c r="W8" s="65"/>
      <c r="X8" s="65"/>
      <c r="Y8" s="65"/>
      <c r="Z8" s="65"/>
    </row>
    <row r="9" ht="18.75" customHeight="1">
      <c r="A9" s="38"/>
      <c r="B9" s="39">
        <f t="shared" si="1"/>
        <v>2</v>
      </c>
      <c r="C9" s="57" t="str">
        <f>REGISTER!B4</f>
        <v>AUTH - Register</v>
      </c>
      <c r="D9" s="52">
        <f>COUNTIFS(REGISTER!A:A,"TC-*",REGISTER!L:L,"Pass")+COUNTIFS(REGISTER!A:A,"TC-*",REGISTER!L:L,"",REGISTER!I:I,"Pass")</f>
        <v>19</v>
      </c>
      <c r="E9" s="57">
        <f>COUNTIFS(REGISTER!A:A,"TC-*",REGISTER!L:L,"Fail")+COUNTIFS(REGISTER!A:A,"TC-*",REGISTER!L:L,"",REGISTER!I:I,"Fail")</f>
        <v>0</v>
      </c>
      <c r="F9" s="57">
        <f>COUNTIFS(REGISTER!A:A,"TC-*",REGISTER!L:L,"Pending")+COUNTIFS(REGISTER!A:A,"TC-*",REGISTER!L:L,"",REGISTER!I:I,"Pending")</f>
        <v>0</v>
      </c>
      <c r="G9" s="64">
        <f>COUNTIF(REGISTER!A:A,"TC-*")</f>
        <v>19</v>
      </c>
      <c r="H9" s="65"/>
      <c r="I9" s="65"/>
      <c r="J9" s="65"/>
      <c r="K9" s="65"/>
      <c r="L9" s="65"/>
      <c r="M9" s="65"/>
      <c r="N9" s="65"/>
      <c r="O9" s="65"/>
      <c r="P9" s="65"/>
      <c r="Q9" s="65"/>
      <c r="R9" s="65"/>
      <c r="S9" s="65"/>
      <c r="T9" s="65"/>
      <c r="U9" s="65"/>
      <c r="V9" s="65"/>
      <c r="W9" s="65"/>
      <c r="X9" s="65"/>
      <c r="Y9" s="65"/>
      <c r="Z9" s="65"/>
    </row>
    <row r="10" ht="31.5" customHeight="1">
      <c r="A10" s="38"/>
      <c r="B10" s="39">
        <f t="shared" si="1"/>
        <v>3</v>
      </c>
      <c r="C10" s="57" t="str">
        <f>BOOKING!B4</f>
        <v>BOOKING - Appointment Booking</v>
      </c>
      <c r="D10" s="52">
        <f>COUNTIFS(BOOKING!A:A,"TC-*",BOOKING!L:L,"Pass")+COUNTIFS(BOOKING!A:A,"TC-*",BOOKING!L:L,"",BOOKING!I:I,"Pass")</f>
        <v>9</v>
      </c>
      <c r="E10" s="57">
        <f>COUNTIFS(BOOKING!A:A,"TC-*",BOOKING!L:L,"Fail")+COUNTIFS(BOOKING!A:A,"TC-*",BOOKING!L:L,"",BOOKING!I:I,"Fail")</f>
        <v>1</v>
      </c>
      <c r="F10" s="57">
        <f>COUNTIFS(BOOKING!A:A,"TC-*",BOOKING!L:L,"Pending")+COUNTIFS(BOOKING!A:A,"TC-*",BOOKING!L:L,"",BOOKING!I:I,"Pending")</f>
        <v>0</v>
      </c>
      <c r="G10" s="64">
        <f>COUNTIF(BOOKING!A:A,"TC-*")</f>
        <v>10</v>
      </c>
      <c r="H10" s="65"/>
      <c r="I10" s="65"/>
      <c r="J10" s="65"/>
      <c r="K10" s="65"/>
      <c r="L10" s="65"/>
      <c r="M10" s="65"/>
      <c r="N10" s="65"/>
      <c r="O10" s="65"/>
      <c r="P10" s="65"/>
      <c r="Q10" s="65"/>
      <c r="R10" s="65"/>
      <c r="S10" s="65"/>
      <c r="T10" s="65"/>
      <c r="U10" s="65"/>
      <c r="V10" s="65"/>
      <c r="W10" s="65"/>
      <c r="X10" s="65"/>
      <c r="Y10" s="65"/>
      <c r="Z10" s="65"/>
    </row>
    <row r="11" ht="30.75" customHeight="1">
      <c r="A11" s="38"/>
      <c r="B11" s="39">
        <f t="shared" si="1"/>
        <v>4</v>
      </c>
      <c r="C11" s="57" t="str">
        <f>APPOINTMENT!B4</f>
        <v>APPOINTMENT - Appointment Management</v>
      </c>
      <c r="D11" s="52">
        <f>COUNTIFS(APPOINTMENT!A:A,"TC-*",APPOINTMENT!L:L,"Pass")+COUNTIFS(APPOINTMENT!A:A,"TC-*",APPOINTMENT!L:L,"",APPOINTMENT!I:I,"Pass")</f>
        <v>8</v>
      </c>
      <c r="E11" s="57">
        <f>COUNTIFS(APPOINTMENT!A:A,"TC-*",APPOINTMENT!L:L,"Fail")+COUNTIFS(APPOINTMENT!A:A,"TC-*",APPOINTMENT!L:L,"",APPOINTMENT!I:I,"Fail")</f>
        <v>1</v>
      </c>
      <c r="F11" s="57">
        <f>COUNTIFS(APPOINTMENT!A:A,"TC-*",APPOINTMENT!L:L,"Pending")+COUNTIFS(APPOINTMENT!A:A,"TC-*",APPOINTMENT!L:L,"",APPOINTMENT!I:I,"Pending")</f>
        <v>0</v>
      </c>
      <c r="G11" s="64">
        <f>COUNTIF(APPOINTMENT!A:A,"TC-*")</f>
        <v>9</v>
      </c>
      <c r="H11" s="65"/>
      <c r="I11" s="65"/>
      <c r="J11" s="65"/>
      <c r="K11" s="65"/>
      <c r="L11" s="65"/>
      <c r="M11" s="65"/>
      <c r="N11" s="65"/>
      <c r="O11" s="65"/>
      <c r="P11" s="65"/>
      <c r="Q11" s="65"/>
      <c r="R11" s="65"/>
      <c r="S11" s="65"/>
      <c r="T11" s="65"/>
      <c r="U11" s="65"/>
      <c r="V11" s="65"/>
      <c r="W11" s="65"/>
      <c r="X11" s="65"/>
      <c r="Y11" s="65"/>
      <c r="Z11" s="65"/>
    </row>
    <row r="12" ht="29.25" customHeight="1">
      <c r="A12" s="38"/>
      <c r="B12" s="39">
        <f t="shared" si="1"/>
        <v>5</v>
      </c>
      <c r="C12" s="57" t="str">
        <f>MEDICAL!B4</f>
        <v>MEDICAL - Medical Record Management</v>
      </c>
      <c r="D12" s="52">
        <f>COUNTIFS(MEDICAL!A:A,"TC-*",MEDICAL!L:L,"Pass")+COUNTIFS(MEDICAL!A:A,"TC-*",MEDICAL!L:L,"",MEDICAL!I:I,"Pass")</f>
        <v>9</v>
      </c>
      <c r="E12" s="57">
        <f>COUNTIFS(MEDICAL!A:A,"TC-*",MEDICAL!L:L,"Fail")+COUNTIFS(MEDICAL!A:A,"TC-*",MEDICAL!L:L,"",MEDICAL!I:I,"Fail")</f>
        <v>0</v>
      </c>
      <c r="F12" s="57">
        <f>COUNTIFS(MEDICAL!A:A,"TC-*",MEDICAL!L:L,"Pending")+COUNTIFS(MEDICAL!A:A,"TC-*",MEDICAL!L:L,"",MEDICAL!I:I,"Pending")</f>
        <v>0</v>
      </c>
      <c r="G12" s="64">
        <f>COUNTIF(MEDICAL!A:A,"TC-*")</f>
        <v>9</v>
      </c>
      <c r="H12" s="65"/>
      <c r="I12" s="65"/>
      <c r="J12" s="65"/>
      <c r="K12" s="65"/>
      <c r="L12" s="65"/>
      <c r="M12" s="65"/>
      <c r="N12" s="65"/>
      <c r="O12" s="65"/>
      <c r="P12" s="65"/>
      <c r="Q12" s="65"/>
      <c r="R12" s="65"/>
      <c r="S12" s="65"/>
      <c r="T12" s="65"/>
      <c r="U12" s="65"/>
      <c r="V12" s="65"/>
      <c r="W12" s="65"/>
      <c r="X12" s="65"/>
      <c r="Y12" s="65"/>
      <c r="Z12" s="65"/>
    </row>
    <row r="13" ht="28.5" customHeight="1">
      <c r="A13" s="38"/>
      <c r="B13" s="39">
        <f t="shared" si="1"/>
        <v>6</v>
      </c>
      <c r="C13" s="57" t="str">
        <f>DS_ADMIN!B4</f>
        <v>SCHEDULE - Doctor Schedule Management</v>
      </c>
      <c r="D13" s="52">
        <f>COUNTIFS(DS_ADMIN!A:A,"TC-*",DS_ADMIN!L:L,"Pass")+COUNTIFS(DS_ADMIN!A:A,"TC-*",DS_ADMIN!L:L,"",DS_ADMIN!I:I,"Pass")</f>
        <v>19</v>
      </c>
      <c r="E13" s="57">
        <f>COUNTIFS(DS_ADMIN!A:A,"TC-*",DS_ADMIN!L:L,"Fail")+COUNTIFS(DS_ADMIN!A:A,"TC-*",DS_ADMIN!L:L,"",DS_ADMIN!I:I,"Fail")</f>
        <v>1</v>
      </c>
      <c r="F13" s="57">
        <f>COUNTIFS(DS_ADMIN!A:A,"TC-*",DS_ADMIN!L:L,"Pending")+COUNTIFS(DS_ADMIN!A:A,"TC-*",DS_ADMIN!L:L,"",DS_ADMIN!I:I,"Pending")</f>
        <v>0</v>
      </c>
      <c r="G13" s="64">
        <f>COUNTIF(DS_ADMIN!A:A,"TC-*")</f>
        <v>20</v>
      </c>
      <c r="H13" s="65"/>
      <c r="I13" s="65"/>
      <c r="J13" s="65"/>
      <c r="K13" s="65"/>
      <c r="L13" s="65"/>
      <c r="M13" s="65"/>
      <c r="N13" s="65"/>
      <c r="O13" s="65"/>
      <c r="P13" s="65"/>
      <c r="Q13" s="65"/>
      <c r="R13" s="65"/>
      <c r="S13" s="65"/>
      <c r="T13" s="65"/>
      <c r="U13" s="65"/>
      <c r="V13" s="65"/>
      <c r="W13" s="65"/>
      <c r="X13" s="65"/>
      <c r="Y13" s="65"/>
      <c r="Z13" s="65"/>
    </row>
    <row r="14" ht="19.5" customHeight="1">
      <c r="A14" s="38"/>
      <c r="B14" s="39">
        <f t="shared" si="1"/>
        <v>7</v>
      </c>
      <c r="C14" s="57" t="str">
        <f>MYAPPOINTMENT!B4</f>
        <v>PATIENT - My Appointments</v>
      </c>
      <c r="D14" s="52">
        <f>COUNTIFS(MYAPPOINTMENT!A:A,"TC-*",MYAPPOINTMENT!L:L,"Pass")+COUNTIFS(MYAPPOINTMENT!A:A,"TC-*",MYAPPOINTMENT!L:L,"",MYAPPOINTMENT!I:I,"Pass")</f>
        <v>5</v>
      </c>
      <c r="E14" s="57">
        <f>COUNTIFS(MYAPPOINTMENT!A:A,"TC-*",MYAPPOINTMENT!L:L,"Fail")+COUNTIFS(MYAPPOINTMENT!A:A,"TC-*",MYAPPOINTMENT!L:L,"",MYAPPOINTMENT!I:I,"Fail")</f>
        <v>0</v>
      </c>
      <c r="F14" s="57">
        <f>COUNTIFS(MYAPPOINTMENT!A:A,"TC-*",MYAPPOINTMENT!L:L,"Pending")+COUNTIFS(MYAPPOINTMENT!A:A,"TC-*",MYAPPOINTMENT!L:L,"",MYAPPOINTMENT!I:I,"Pending")</f>
        <v>0</v>
      </c>
      <c r="G14" s="64">
        <f>COUNTIF(MYAPPOINTMENT!A:A,"TC-*")</f>
        <v>5</v>
      </c>
      <c r="H14" s="65"/>
      <c r="I14" s="65"/>
      <c r="J14" s="65"/>
      <c r="K14" s="65"/>
      <c r="L14" s="65"/>
      <c r="M14" s="65"/>
      <c r="N14" s="65"/>
      <c r="O14" s="65"/>
      <c r="P14" s="65"/>
      <c r="Q14" s="65"/>
      <c r="R14" s="65"/>
      <c r="S14" s="65"/>
      <c r="T14" s="65"/>
      <c r="U14" s="65"/>
      <c r="V14" s="65"/>
      <c r="W14" s="65"/>
      <c r="X14" s="65"/>
      <c r="Y14" s="65"/>
      <c r="Z14" s="65"/>
    </row>
    <row r="15" ht="20.25" customHeight="1">
      <c r="A15" s="38"/>
      <c r="B15" s="39">
        <f t="shared" si="1"/>
        <v>8</v>
      </c>
      <c r="C15" s="57" t="str">
        <f>HISTORY!B4</f>
        <v>MEDICAL - Medical History</v>
      </c>
      <c r="D15" s="52">
        <f>COUNTIFS(HISTORY!A:A,"TC-*",HISTORY!L:L,"Pass")+COUNTIFS(HISTORY!A:A,"TC-*",HISTORY!L:L,"",HISTORY!I:I,"Pass")</f>
        <v>6</v>
      </c>
      <c r="E15" s="57">
        <f>COUNTIFS(HISTORY!A:A,"TC-*",HISTORY!L:L,"Fail")+COUNTIFS(HISTORY!A:A,"TC-*",HISTORY!L:L,"",HISTORY!I:I,"Fail")</f>
        <v>0</v>
      </c>
      <c r="F15" s="57">
        <f>COUNTIFS(HISTORY!A:A,"TC-*",HISTORY!L:L,"Pending")+COUNTIFS(HISTORY!A:A,"TC-*",HISTORY!L:L,"",HISTORY!I:I,"Pending")</f>
        <v>0</v>
      </c>
      <c r="G15" s="64">
        <f>COUNTIF(HISTORY!A:A,"TC-*")</f>
        <v>6</v>
      </c>
      <c r="H15" s="65"/>
      <c r="I15" s="65"/>
      <c r="J15" s="65"/>
      <c r="K15" s="65"/>
      <c r="L15" s="65"/>
      <c r="M15" s="65"/>
      <c r="N15" s="65"/>
      <c r="O15" s="65"/>
      <c r="P15" s="65"/>
      <c r="Q15" s="65"/>
      <c r="R15" s="65"/>
      <c r="S15" s="65"/>
      <c r="T15" s="65"/>
      <c r="U15" s="65"/>
      <c r="V15" s="65"/>
      <c r="W15" s="65"/>
      <c r="X15" s="65"/>
      <c r="Y15" s="65"/>
      <c r="Z15" s="65"/>
    </row>
    <row r="16" ht="28.5" customHeight="1">
      <c r="A16" s="38"/>
      <c r="B16" s="39">
        <f t="shared" si="1"/>
        <v>9</v>
      </c>
      <c r="C16" s="57" t="str">
        <f>WORKSCHEDULE!B4</f>
        <v>SCHEDULE - Doctor Work Schedule</v>
      </c>
      <c r="D16" s="52">
        <f>COUNTIFS(WORKSCHEDULE!A:A,"TC-*",WORKSCHEDULE!L:L,"Pass")+COUNTIFS(WORKSCHEDULE!A:A,"TC-*",WORKSCHEDULE!L:L,"",WORKSCHEDULE!I:I,"Pass")</f>
        <v>5</v>
      </c>
      <c r="E16" s="57">
        <f>COUNTIFS(WORKSCHEDULE!A:A,"TC-*",WORKSCHEDULE!L:L,"Fail")+COUNTIFS(WORKSCHEDULE!A:A,"TC-*",WORKSCHEDULE!L:L,"",WORKSCHEDULE!I:I,"Fail")</f>
        <v>0</v>
      </c>
      <c r="F16" s="57">
        <f>COUNTIFS(WORKSCHEDULE!A:A,"TC-*",WORKSCHEDULE!L:L,"Pending")+COUNTIFS(WORKSCHEDULE!A:A,"TC-*",WORKSCHEDULE!L:L,"",WORKSCHEDULE!I:I,"Pending")</f>
        <v>0</v>
      </c>
      <c r="G16" s="64">
        <f>COUNTIF(WORKSCHEDULE!A:A,"TC-*")</f>
        <v>5</v>
      </c>
      <c r="H16" s="65"/>
      <c r="I16" s="65"/>
      <c r="J16" s="65"/>
      <c r="K16" s="65"/>
      <c r="L16" s="65"/>
      <c r="M16" s="65"/>
      <c r="N16" s="65"/>
      <c r="O16" s="65"/>
      <c r="P16" s="65"/>
      <c r="Q16" s="65"/>
      <c r="R16" s="65"/>
      <c r="S16" s="65"/>
      <c r="T16" s="65"/>
      <c r="U16" s="65"/>
      <c r="V16" s="65"/>
      <c r="W16" s="65"/>
      <c r="X16" s="65"/>
      <c r="Y16" s="65"/>
      <c r="Z16" s="65"/>
    </row>
    <row r="17" ht="27.0" customHeight="1">
      <c r="A17" s="38"/>
      <c r="B17" s="39">
        <f t="shared" si="1"/>
        <v>10</v>
      </c>
      <c r="C17" s="57" t="str">
        <f>NOTIFICATION!B4</f>
        <v>NOTIFICATION - Patient Notifications</v>
      </c>
      <c r="D17" s="52">
        <f>COUNTIFS(NOTIFICATION!A:A,"TC-*",NOTIFICATION!L:L,"Pass")+COUNTIFS(NOTIFICATION!A:A,"TC-*",NOTIFICATION!L:L,"",NOTIFICATION!I:I,"Pass")</f>
        <v>8</v>
      </c>
      <c r="E17" s="57">
        <f>COUNTIFS(NOTIFICATION!A:A,"TC-*",NOTIFICATION!L:L,"Fail")+COUNTIFS(NOTIFICATION!A:A,"TC-*",NOTIFICATION!L:L,"",NOTIFICATION!I:I,"Fail")</f>
        <v>1</v>
      </c>
      <c r="F17" s="57">
        <f>COUNTIFS(NOTIFICATION!A:A,"TC-*",NOTIFICATION!L:L,"Pending")+COUNTIFS(NOTIFICATION!A:A,"TC-*",NOTIFICATION!L:L,"",NOTIFICATION!I:I,"Pending")</f>
        <v>0</v>
      </c>
      <c r="G17" s="64">
        <f>COUNTIF(NOTIFICATION!A:A,"TC-*")</f>
        <v>9</v>
      </c>
      <c r="H17" s="65"/>
      <c r="I17" s="65"/>
      <c r="J17" s="65"/>
      <c r="K17" s="65"/>
      <c r="L17" s="65"/>
      <c r="M17" s="65"/>
      <c r="N17" s="65"/>
      <c r="O17" s="65"/>
      <c r="P17" s="65"/>
      <c r="Q17" s="65"/>
      <c r="R17" s="65"/>
      <c r="S17" s="65"/>
      <c r="T17" s="65"/>
      <c r="U17" s="65"/>
      <c r="V17" s="65"/>
      <c r="W17" s="65"/>
      <c r="X17" s="65"/>
      <c r="Y17" s="65"/>
      <c r="Z17" s="65"/>
    </row>
    <row r="18" ht="36.0" customHeight="1">
      <c r="A18" s="38"/>
      <c r="B18" s="39">
        <f t="shared" si="1"/>
        <v>11</v>
      </c>
      <c r="C18" s="57" t="str">
        <f>DOCTOR!B4</f>
        <v>DOCTOR - Doctor Management</v>
      </c>
      <c r="D18" s="52">
        <f>COUNTIFS(DOCTOR!A:A,"TC-*",DOCTOR!L:L,"Pass")+COUNTIFS(DOCTOR!A:A,"TC-*",DOCTOR!L:L,"",DOCTOR!I:I,"Pass")</f>
        <v>4</v>
      </c>
      <c r="E18" s="57">
        <f>COUNTIFS(DOCTOR!A:A,"TC-*",DOCTOR!L:L,"Fail")+COUNTIFS(DOCTOR!A:A,"TC-*",DOCTOR!L:L,"",DOCTOR!I:I,"Fail")</f>
        <v>0</v>
      </c>
      <c r="F18" s="57">
        <f>COUNTIFS(DOCTOR!A:A,"TC-*",DOCTOR!L:L,"Pending")+COUNTIFS(DOCTOR!A:A,"TC-*",DOCTOR!L:L,"",DOCTOR!I:I,"Pending")</f>
        <v>0</v>
      </c>
      <c r="G18" s="64">
        <f>COUNTIF(DOCTOR!A:A,"TC-*")</f>
        <v>4</v>
      </c>
      <c r="H18" s="65"/>
      <c r="I18" s="65"/>
      <c r="J18" s="65"/>
      <c r="K18" s="65"/>
      <c r="L18" s="65"/>
      <c r="M18" s="65"/>
      <c r="N18" s="65"/>
      <c r="O18" s="65"/>
      <c r="P18" s="65"/>
      <c r="Q18" s="65"/>
      <c r="R18" s="65"/>
      <c r="S18" s="65"/>
      <c r="T18" s="65"/>
      <c r="U18" s="65"/>
      <c r="V18" s="65"/>
      <c r="W18" s="65"/>
      <c r="X18" s="65"/>
      <c r="Y18" s="65"/>
      <c r="Z18" s="65"/>
    </row>
    <row r="19" ht="33.0" customHeight="1">
      <c r="A19" s="38"/>
      <c r="B19" s="39">
        <f t="shared" si="1"/>
        <v>12</v>
      </c>
      <c r="C19" s="57" t="str">
        <f>SPECIALTY!B4</f>
        <v>SPECIALTY - Specialty Management</v>
      </c>
      <c r="D19" s="52">
        <f>COUNTIFS(SPECIALTY!A:A,"TC-*",SPECIALTY!L:L,"Pass")+COUNTIFS(SPECIALTY!A:A,"TC-*",SPECIALTY!L:L,"",SPECIALTY!I:I,"Pass")</f>
        <v>5</v>
      </c>
      <c r="E19" s="57">
        <f>COUNTIFS(SPECIALTY!A:A,"TC-*",SPECIALTY!L:L,"Fail")+COUNTIFS(SPECIALTY!A:A,"TC-*",SPECIALTY!L:L,"",SPECIALTY!I:I,"Fail")</f>
        <v>0</v>
      </c>
      <c r="F19" s="57">
        <f>COUNTIFS(SPECIALTY!A:A,"TC-*",SPECIALTY!L:L,"Pending")+COUNTIFS(SPECIALTY!A:A,"TC-*",SPECIALTY!L:L,"",SPECIALTY!I:I,"Pending")</f>
        <v>0</v>
      </c>
      <c r="G19" s="64">
        <f>COUNTIF(SPECIALTY!A:A,"TC-*")</f>
        <v>5</v>
      </c>
      <c r="H19" s="65"/>
      <c r="I19" s="65"/>
      <c r="J19" s="65"/>
      <c r="K19" s="65"/>
      <c r="L19" s="65"/>
      <c r="M19" s="65"/>
      <c r="N19" s="65"/>
      <c r="O19" s="65"/>
      <c r="P19" s="65"/>
      <c r="Q19" s="65"/>
      <c r="R19" s="65"/>
      <c r="S19" s="65"/>
      <c r="T19" s="65"/>
      <c r="U19" s="65"/>
      <c r="V19" s="65"/>
      <c r="W19" s="65"/>
      <c r="X19" s="65"/>
      <c r="Y19" s="65"/>
      <c r="Z19" s="65"/>
    </row>
    <row r="20" ht="23.25" customHeight="1">
      <c r="A20" s="7"/>
      <c r="B20" s="39">
        <f t="shared" si="1"/>
        <v>13</v>
      </c>
      <c r="C20" s="106" t="str">
        <f>DRUG_CATEGORY!B4</f>
        <v>DRUG - Drug Inventory Management</v>
      </c>
      <c r="D20" s="107">
        <f>COUNTIFS(DRUG_CATEGORY!A:A,"TC-*",DRUG_CATEGORY!L:L,"Pass")+COUNTIFS(DRUG_CATEGORY!A:A,"TC-*",DRUG_CATEGORY!L:L,"",DRUG_CATEGORY!I:I,"Pass")</f>
        <v>10</v>
      </c>
      <c r="E20" s="108">
        <f>COUNTIFS(DRUG_CATEGORY!A:A,"TC-*",DRUG_CATEGORY!L:L,"Fail")+COUNTIFS(DRUG_CATEGORY!A:A,"TC-*",DRUG_CATEGORY!L:L,"",DRUG_CATEGORY!I:I,"Fail")</f>
        <v>1</v>
      </c>
      <c r="F20" s="108">
        <f>COUNTIFS(DRUG_CATEGORY!A:A,"TC-*",DRUG_CATEGORY!L:L,"Pending")+COUNTIFS(DRUG_CATEGORY!A:A,"TC-*",DRUG_CATEGORY!L:L,"",DRUG_CATEGORY!I:I,"Pending")</f>
        <v>0</v>
      </c>
      <c r="G20" s="109">
        <f>COUNTIF(DRUG_CATEGORY!A:A,"TC-*")</f>
        <v>11</v>
      </c>
    </row>
    <row r="21" ht="23.25" customHeight="1">
      <c r="A21" s="7"/>
      <c r="B21" s="39">
        <f t="shared" si="1"/>
        <v>14</v>
      </c>
      <c r="C21" s="110" t="str">
        <f>STAT!B4</f>
        <v>STAT - Statistics and Reporting</v>
      </c>
      <c r="D21" s="111">
        <f>COUNTIFS(STAT!A:A,"TC-*",STAT!L:L,"Pass")+COUNTIFS(STAT!A:A,"TC-*",STAT!L:L,"",STAT!I:I,"Pass")</f>
        <v>4</v>
      </c>
      <c r="E21" s="112">
        <f>COUNTIFS(STAT!A:A,"TC-*",STAT!L:L,"Fail")+COUNTIFS(STAT!A:A,"TC-*",STAT!L:L,"",STAT!I:I,"Fail")</f>
        <v>0</v>
      </c>
      <c r="F21" s="112">
        <f>COUNTIFS(STAT!A:A,"TC-*",STAT!L:L,"Pending")+COUNTIFS(STAT!A:A,"TC-*",STAT!L:L,"",STAT!I:I,"Pending")</f>
        <v>0</v>
      </c>
      <c r="G21" s="113">
        <f>COUNTIF(STAT!A:A,"TC-*")</f>
        <v>4</v>
      </c>
    </row>
    <row r="22" ht="13.5" customHeight="1">
      <c r="A22" s="7"/>
      <c r="B22" s="114"/>
      <c r="C22" s="115" t="s">
        <v>161</v>
      </c>
      <c r="D22" s="116">
        <f t="shared" ref="D22:G22" si="2">SUM(D8:D21)</f>
        <v>121</v>
      </c>
      <c r="E22" s="117">
        <f t="shared" si="2"/>
        <v>5</v>
      </c>
      <c r="F22" s="118">
        <f t="shared" si="2"/>
        <v>0</v>
      </c>
      <c r="G22" s="119">
        <f t="shared" si="2"/>
        <v>126</v>
      </c>
    </row>
    <row r="23" ht="13.5" customHeight="1">
      <c r="A23" s="7"/>
      <c r="B23" s="120"/>
      <c r="C23" s="7"/>
      <c r="D23" s="121"/>
      <c r="E23" s="122"/>
      <c r="F23" s="122"/>
      <c r="G23" s="122"/>
    </row>
    <row r="24" ht="13.5" customHeight="1">
      <c r="A24" s="7"/>
      <c r="B24" s="7"/>
      <c r="C24" s="7" t="s">
        <v>172</v>
      </c>
      <c r="D24" s="7"/>
      <c r="E24" s="123">
        <f>(D22+E22)*100/G22</f>
        <v>100</v>
      </c>
      <c r="F24" s="7" t="s">
        <v>175</v>
      </c>
      <c r="G24" s="124"/>
    </row>
    <row r="25" ht="13.5" customHeight="1">
      <c r="A25" s="7"/>
      <c r="B25" s="7"/>
      <c r="C25" s="7" t="s">
        <v>177</v>
      </c>
      <c r="D25" s="7"/>
      <c r="E25" s="123">
        <f>D22*100/G22</f>
        <v>96.03174603</v>
      </c>
      <c r="F25" s="7" t="s">
        <v>175</v>
      </c>
      <c r="G25" s="124"/>
    </row>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row r="1001" ht="13.5" customHeight="1"/>
    <row r="1002" ht="13.5" customHeight="1"/>
    <row r="1003" ht="13.5" customHeight="1"/>
    <row r="1004" ht="13.5" customHeight="1"/>
    <row r="1005" ht="13.5" customHeight="1"/>
    <row r="1006" ht="13.5" customHeight="1"/>
    <row r="1007" ht="13.5" customHeight="1"/>
    <row r="1008" ht="13.5" customHeight="1"/>
    <row r="1009" ht="13.5" customHeight="1"/>
    <row r="1010" ht="13.5" customHeight="1"/>
    <row r="1011" ht="13.5" customHeight="1"/>
    <row r="1012" ht="13.5" customHeight="1"/>
  </sheetData>
  <printOptions/>
  <pageMargins bottom="1.0" footer="0.0" header="0.0" left="0.75" right="0.75" top="1.0"/>
  <pageSetup orientation="landscape"/>
  <headerFooter>
    <oddFooter>&amp;L 02ae-BM/PM/HDCV/FSOFT v1/0</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5"/>
    <col customWidth="1" min="2" max="2" width="29.38"/>
    <col customWidth="1" min="3" max="3" width="38.0"/>
    <col customWidth="1" min="6" max="6" width="19.0"/>
    <col customWidth="1" min="7" max="7" width="18.5"/>
    <col customWidth="1" min="8" max="8" width="20.13"/>
    <col customWidth="1" min="9" max="9" width="15.5"/>
    <col customWidth="1" min="10" max="10" width="21.38"/>
    <col customWidth="1" min="11" max="12" width="19.88"/>
    <col customWidth="1" min="13" max="13" width="21.13"/>
  </cols>
  <sheetData>
    <row r="1">
      <c r="A1" s="11" t="s">
        <v>3</v>
      </c>
      <c r="B1" s="18"/>
      <c r="E1" s="18"/>
      <c r="F1" s="18"/>
      <c r="G1" s="18"/>
      <c r="H1" s="18"/>
      <c r="I1" s="18"/>
      <c r="J1" s="18"/>
      <c r="K1" s="24"/>
      <c r="L1" s="24"/>
      <c r="M1" s="24"/>
      <c r="N1" s="24"/>
      <c r="O1" s="24"/>
      <c r="P1" s="24"/>
      <c r="Q1" s="24"/>
      <c r="R1" s="24"/>
      <c r="S1" s="24"/>
      <c r="T1" s="24"/>
      <c r="U1" s="24"/>
      <c r="V1" s="24"/>
      <c r="W1" s="24"/>
      <c r="X1" s="24"/>
      <c r="Y1" s="24"/>
      <c r="Z1" s="24"/>
      <c r="AA1" s="24"/>
    </row>
    <row r="2">
      <c r="A2" s="18"/>
      <c r="B2" s="44"/>
      <c r="C2" s="44"/>
      <c r="D2" s="44"/>
      <c r="E2" s="18"/>
      <c r="F2" s="18"/>
      <c r="G2" s="18"/>
      <c r="H2" s="18"/>
      <c r="I2" s="18"/>
      <c r="J2" s="18"/>
      <c r="K2" s="24"/>
      <c r="L2" s="24"/>
      <c r="M2" s="24"/>
      <c r="N2" s="24"/>
      <c r="O2" s="24"/>
      <c r="P2" s="24"/>
      <c r="Q2" s="24"/>
      <c r="R2" s="24"/>
      <c r="S2" s="24"/>
      <c r="T2" s="24"/>
      <c r="U2" s="24"/>
      <c r="V2" s="24"/>
      <c r="W2" s="24"/>
      <c r="X2" s="24"/>
      <c r="Y2" s="24"/>
      <c r="Z2" s="24"/>
      <c r="AA2" s="24"/>
    </row>
    <row r="3">
      <c r="A3" s="56" t="s">
        <v>60</v>
      </c>
      <c r="B3" s="58" t="s">
        <v>63</v>
      </c>
      <c r="C3" s="59"/>
      <c r="D3" s="60"/>
      <c r="E3" s="18"/>
      <c r="F3" s="18"/>
      <c r="G3" s="18"/>
      <c r="H3" s="18"/>
      <c r="I3" s="24"/>
      <c r="J3" s="24"/>
      <c r="K3" s="24"/>
      <c r="L3" s="24"/>
      <c r="M3" s="24"/>
      <c r="N3" s="24"/>
      <c r="O3" s="24"/>
      <c r="P3" s="24"/>
      <c r="Q3" s="24"/>
      <c r="R3" s="24"/>
      <c r="S3" s="24"/>
      <c r="T3" s="24"/>
      <c r="U3" s="24"/>
      <c r="V3" s="24"/>
      <c r="W3" s="24"/>
      <c r="X3" s="24"/>
      <c r="Y3" s="24"/>
      <c r="Z3" s="24"/>
      <c r="AA3" s="24"/>
    </row>
    <row r="4">
      <c r="A4" s="56" t="s">
        <v>69</v>
      </c>
      <c r="B4" s="61" t="s">
        <v>72</v>
      </c>
      <c r="C4" s="59"/>
      <c r="D4" s="60"/>
      <c r="E4" s="18"/>
      <c r="F4" s="18"/>
      <c r="G4" s="18"/>
      <c r="H4" s="18"/>
      <c r="I4" s="24"/>
      <c r="J4" s="24"/>
      <c r="K4" s="24"/>
      <c r="L4" s="24"/>
      <c r="M4" s="24"/>
      <c r="N4" s="24"/>
      <c r="O4" s="24"/>
      <c r="P4" s="24"/>
      <c r="Q4" s="24"/>
      <c r="R4" s="24"/>
      <c r="S4" s="24"/>
      <c r="T4" s="24"/>
      <c r="U4" s="24"/>
      <c r="V4" s="24"/>
      <c r="W4" s="24"/>
      <c r="X4" s="24"/>
      <c r="Y4" s="24"/>
      <c r="Z4" s="24"/>
      <c r="AA4" s="24"/>
    </row>
    <row r="5">
      <c r="A5" s="56" t="s">
        <v>83</v>
      </c>
      <c r="B5" s="58" t="s">
        <v>84</v>
      </c>
      <c r="C5" s="59"/>
      <c r="D5" s="60"/>
      <c r="E5" s="18"/>
      <c r="F5" s="18"/>
      <c r="G5" s="18"/>
      <c r="H5" s="18"/>
      <c r="I5" s="24"/>
      <c r="J5" s="24"/>
      <c r="K5" s="24"/>
      <c r="L5" s="24"/>
      <c r="M5" s="24"/>
      <c r="N5" s="24"/>
      <c r="O5" s="24"/>
      <c r="P5" s="24"/>
      <c r="Q5" s="24"/>
      <c r="R5" s="24"/>
      <c r="S5" s="24"/>
      <c r="T5" s="24"/>
      <c r="U5" s="24"/>
      <c r="V5" s="24"/>
      <c r="W5" s="24"/>
      <c r="X5" s="24"/>
      <c r="Y5" s="24"/>
      <c r="Z5" s="24"/>
      <c r="AA5" s="24"/>
    </row>
    <row r="6">
      <c r="A6" s="69" t="s">
        <v>23</v>
      </c>
      <c r="B6" s="70">
        <v>9.0</v>
      </c>
      <c r="C6" s="72" t="s">
        <v>25</v>
      </c>
      <c r="D6" s="73">
        <v>0.0</v>
      </c>
      <c r="E6" s="18"/>
      <c r="F6" s="18"/>
      <c r="G6" s="18"/>
      <c r="H6" s="18"/>
      <c r="I6" s="24"/>
      <c r="J6" s="24"/>
      <c r="K6" s="24"/>
      <c r="L6" s="24"/>
      <c r="M6" s="24"/>
      <c r="N6" s="24"/>
      <c r="O6" s="24"/>
      <c r="P6" s="24"/>
      <c r="Q6" s="24"/>
      <c r="R6" s="24"/>
      <c r="S6" s="24"/>
      <c r="T6" s="24"/>
      <c r="U6" s="24"/>
      <c r="V6" s="24"/>
      <c r="W6" s="24"/>
      <c r="X6" s="24"/>
      <c r="Y6" s="24"/>
      <c r="Z6" s="24"/>
      <c r="AA6" s="24"/>
    </row>
    <row r="7">
      <c r="A7" s="69" t="s">
        <v>24</v>
      </c>
      <c r="B7" s="70">
        <v>1.0</v>
      </c>
      <c r="C7" s="75" t="s">
        <v>99</v>
      </c>
      <c r="D7" s="73">
        <v>10.0</v>
      </c>
      <c r="E7" s="18"/>
      <c r="F7" s="18"/>
      <c r="G7" s="18"/>
      <c r="H7" s="18"/>
      <c r="I7" s="24"/>
      <c r="J7" s="24"/>
      <c r="K7" s="24"/>
      <c r="L7" s="24"/>
      <c r="M7" s="24"/>
      <c r="N7" s="24"/>
      <c r="O7" s="24"/>
      <c r="P7" s="24"/>
      <c r="Q7" s="24"/>
      <c r="R7" s="24"/>
      <c r="S7" s="24"/>
      <c r="T7" s="24"/>
      <c r="U7" s="24"/>
      <c r="V7" s="24"/>
      <c r="W7" s="24"/>
      <c r="X7" s="24"/>
      <c r="Y7" s="24"/>
      <c r="Z7" s="24"/>
      <c r="AA7" s="24"/>
    </row>
    <row r="8">
      <c r="A8" s="76"/>
      <c r="B8" s="77"/>
      <c r="C8" s="77"/>
      <c r="D8" s="77"/>
      <c r="E8" s="18"/>
      <c r="F8" s="18"/>
      <c r="G8" s="18"/>
      <c r="H8" s="18"/>
      <c r="I8" s="78"/>
      <c r="J8" s="78"/>
      <c r="K8" s="24"/>
      <c r="L8" s="24"/>
      <c r="M8" s="24"/>
      <c r="N8" s="24"/>
      <c r="O8" s="24"/>
      <c r="P8" s="24"/>
      <c r="Q8" s="24"/>
      <c r="R8" s="24"/>
      <c r="S8" s="24"/>
      <c r="T8" s="24"/>
      <c r="U8" s="24"/>
      <c r="V8" s="24"/>
      <c r="W8" s="24"/>
      <c r="X8" s="24"/>
      <c r="Y8" s="24"/>
      <c r="Z8" s="24"/>
      <c r="AA8" s="24"/>
    </row>
    <row r="9">
      <c r="A9" s="79" t="s">
        <v>101</v>
      </c>
      <c r="B9" s="80" t="s">
        <v>102</v>
      </c>
      <c r="C9" s="79" t="s">
        <v>103</v>
      </c>
      <c r="D9" s="81" t="s">
        <v>104</v>
      </c>
      <c r="G9" s="79" t="s">
        <v>106</v>
      </c>
      <c r="H9" s="82" t="s">
        <v>107</v>
      </c>
      <c r="I9" s="82" t="s">
        <v>109</v>
      </c>
      <c r="J9" s="82" t="s">
        <v>110</v>
      </c>
      <c r="K9" s="83" t="s">
        <v>111</v>
      </c>
      <c r="L9" s="82" t="s">
        <v>112</v>
      </c>
      <c r="M9" s="82" t="s">
        <v>113</v>
      </c>
      <c r="N9" s="24"/>
      <c r="O9" s="24"/>
      <c r="P9" s="24"/>
      <c r="Q9" s="24"/>
      <c r="R9" s="24"/>
      <c r="S9" s="24"/>
      <c r="T9" s="24"/>
      <c r="U9" s="24"/>
      <c r="V9" s="24"/>
      <c r="W9" s="24"/>
      <c r="X9" s="24"/>
      <c r="Y9" s="24"/>
      <c r="Z9" s="24"/>
      <c r="AA9" s="24"/>
    </row>
    <row r="10">
      <c r="A10" s="84"/>
      <c r="B10" s="84"/>
      <c r="C10" s="84"/>
      <c r="D10" s="85"/>
      <c r="E10" s="44"/>
      <c r="F10" s="44"/>
      <c r="G10" s="84"/>
      <c r="H10" s="84"/>
      <c r="I10" s="84"/>
      <c r="J10" s="84"/>
      <c r="K10" s="84"/>
      <c r="L10" s="84"/>
      <c r="M10" s="84"/>
      <c r="N10" s="24"/>
      <c r="O10" s="24"/>
      <c r="P10" s="24"/>
      <c r="Q10" s="24"/>
      <c r="R10" s="24"/>
      <c r="S10" s="24"/>
      <c r="T10" s="24"/>
      <c r="U10" s="24"/>
      <c r="V10" s="24"/>
      <c r="W10" s="24"/>
      <c r="X10" s="24"/>
      <c r="Y10" s="24"/>
      <c r="Z10" s="24"/>
      <c r="AA10" s="24"/>
    </row>
    <row r="11">
      <c r="A11" s="86"/>
      <c r="B11" s="77"/>
      <c r="C11" s="77"/>
      <c r="D11" s="77"/>
      <c r="E11" s="77"/>
      <c r="F11" s="77"/>
      <c r="G11" s="59"/>
      <c r="H11" s="59"/>
      <c r="I11" s="59"/>
      <c r="J11" s="59"/>
      <c r="K11" s="59"/>
      <c r="L11" s="59"/>
      <c r="M11" s="59"/>
      <c r="N11" s="24"/>
      <c r="O11" s="24"/>
      <c r="P11" s="24"/>
      <c r="Q11" s="24"/>
      <c r="R11" s="24"/>
      <c r="S11" s="24"/>
      <c r="T11" s="24"/>
      <c r="U11" s="24"/>
      <c r="V11" s="24"/>
      <c r="W11" s="24"/>
      <c r="X11" s="24"/>
      <c r="Y11" s="24"/>
      <c r="Z11" s="24"/>
      <c r="AA11" s="24"/>
    </row>
    <row r="12">
      <c r="A12" s="87" t="s">
        <v>119</v>
      </c>
      <c r="B12" s="59"/>
      <c r="C12" s="59"/>
      <c r="D12" s="59"/>
      <c r="E12" s="59"/>
      <c r="F12" s="59"/>
      <c r="G12" s="59"/>
      <c r="H12" s="59"/>
      <c r="I12" s="59"/>
      <c r="J12" s="59"/>
      <c r="K12" s="59"/>
      <c r="L12" s="59"/>
      <c r="M12" s="60"/>
      <c r="N12" s="24"/>
      <c r="O12" s="24"/>
      <c r="P12" s="24"/>
      <c r="Q12" s="24"/>
      <c r="R12" s="24"/>
      <c r="S12" s="24"/>
      <c r="T12" s="24"/>
      <c r="U12" s="24"/>
      <c r="V12" s="24"/>
      <c r="W12" s="24"/>
      <c r="X12" s="24"/>
      <c r="Y12" s="24"/>
      <c r="Z12" s="24"/>
      <c r="AA12" s="24"/>
    </row>
    <row r="13" ht="83.25" customHeight="1">
      <c r="A13" s="88" t="s">
        <v>120</v>
      </c>
      <c r="B13" s="90" t="s">
        <v>122</v>
      </c>
      <c r="C13" s="91" t="s">
        <v>123</v>
      </c>
      <c r="D13" s="93" t="s">
        <v>124</v>
      </c>
      <c r="E13" s="59"/>
      <c r="F13" s="59"/>
      <c r="G13" s="102" t="s">
        <v>125</v>
      </c>
      <c r="H13" s="103">
        <v>46213.0</v>
      </c>
      <c r="I13" s="88" t="s">
        <v>23</v>
      </c>
      <c r="J13" s="91" t="s">
        <v>127</v>
      </c>
      <c r="K13" s="104"/>
      <c r="L13" s="24"/>
      <c r="M13" s="105"/>
      <c r="N13" s="24"/>
      <c r="O13" s="24"/>
      <c r="P13" s="24"/>
      <c r="Q13" s="24"/>
      <c r="R13" s="24"/>
      <c r="S13" s="24"/>
      <c r="T13" s="24"/>
      <c r="U13" s="24"/>
      <c r="V13" s="24"/>
      <c r="W13" s="24"/>
      <c r="X13" s="24"/>
      <c r="Y13" s="24"/>
      <c r="Z13" s="24"/>
      <c r="AA13" s="24"/>
    </row>
    <row r="14">
      <c r="A14" s="88" t="s">
        <v>128</v>
      </c>
      <c r="B14" s="90" t="s">
        <v>129</v>
      </c>
      <c r="C14" s="91" t="s">
        <v>130</v>
      </c>
      <c r="D14" s="93" t="s">
        <v>131</v>
      </c>
      <c r="E14" s="59"/>
      <c r="F14" s="59"/>
      <c r="G14" s="102" t="s">
        <v>132</v>
      </c>
      <c r="H14" s="103">
        <v>46213.0</v>
      </c>
      <c r="I14" s="88" t="s">
        <v>24</v>
      </c>
      <c r="J14" s="91" t="s">
        <v>133</v>
      </c>
      <c r="K14" s="103">
        <v>46213.0</v>
      </c>
      <c r="L14" s="88" t="s">
        <v>23</v>
      </c>
      <c r="M14" s="102" t="s">
        <v>134</v>
      </c>
      <c r="N14" s="24"/>
      <c r="O14" s="24"/>
      <c r="P14" s="24"/>
      <c r="Q14" s="24"/>
      <c r="R14" s="24"/>
      <c r="S14" s="24"/>
      <c r="T14" s="24"/>
      <c r="U14" s="24"/>
      <c r="V14" s="24"/>
      <c r="W14" s="24"/>
      <c r="X14" s="24"/>
      <c r="Y14" s="24"/>
      <c r="Z14" s="24"/>
      <c r="AA14" s="24"/>
    </row>
    <row r="15">
      <c r="A15" s="87" t="s">
        <v>135</v>
      </c>
      <c r="B15" s="59"/>
      <c r="C15" s="59"/>
      <c r="D15" s="59"/>
      <c r="E15" s="59"/>
      <c r="F15" s="59"/>
      <c r="G15" s="59"/>
      <c r="H15" s="59"/>
      <c r="I15" s="59"/>
      <c r="J15" s="59"/>
      <c r="K15" s="59"/>
      <c r="L15" s="59"/>
      <c r="M15" s="60"/>
      <c r="N15" s="24"/>
      <c r="O15" s="24"/>
      <c r="P15" s="24"/>
      <c r="Q15" s="24"/>
      <c r="R15" s="24"/>
      <c r="S15" s="24"/>
      <c r="T15" s="24"/>
      <c r="U15" s="24"/>
      <c r="V15" s="24"/>
      <c r="W15" s="24"/>
      <c r="X15" s="24"/>
      <c r="Y15" s="24"/>
      <c r="Z15" s="24"/>
      <c r="AA15" s="24"/>
    </row>
    <row r="16" ht="81.0" customHeight="1">
      <c r="A16" s="88" t="s">
        <v>136</v>
      </c>
      <c r="B16" s="90" t="s">
        <v>137</v>
      </c>
      <c r="C16" s="91" t="s">
        <v>138</v>
      </c>
      <c r="D16" s="93" t="s">
        <v>139</v>
      </c>
      <c r="E16" s="59"/>
      <c r="F16" s="59"/>
      <c r="G16" s="102" t="s">
        <v>140</v>
      </c>
      <c r="H16" s="103">
        <v>46213.0</v>
      </c>
      <c r="I16" s="88" t="s">
        <v>23</v>
      </c>
      <c r="J16" s="91" t="s">
        <v>141</v>
      </c>
      <c r="K16" s="104"/>
      <c r="L16" s="104"/>
      <c r="M16" s="105"/>
      <c r="N16" s="24"/>
      <c r="O16" s="24"/>
      <c r="P16" s="24"/>
      <c r="Q16" s="24"/>
      <c r="R16" s="24"/>
      <c r="S16" s="24"/>
      <c r="T16" s="24"/>
      <c r="U16" s="24"/>
      <c r="V16" s="24"/>
      <c r="W16" s="24"/>
      <c r="X16" s="24"/>
      <c r="Y16" s="24"/>
      <c r="Z16" s="24"/>
      <c r="AA16" s="24"/>
    </row>
    <row r="17" ht="83.25" customHeight="1">
      <c r="A17" s="88" t="s">
        <v>142</v>
      </c>
      <c r="B17" s="90" t="s">
        <v>143</v>
      </c>
      <c r="C17" s="91" t="s">
        <v>145</v>
      </c>
      <c r="D17" s="93" t="s">
        <v>146</v>
      </c>
      <c r="E17" s="59"/>
      <c r="F17" s="59"/>
      <c r="G17" s="102" t="s">
        <v>148</v>
      </c>
      <c r="H17" s="103">
        <v>46213.0</v>
      </c>
      <c r="I17" s="88" t="s">
        <v>23</v>
      </c>
      <c r="J17" s="91" t="s">
        <v>149</v>
      </c>
      <c r="K17" s="104"/>
      <c r="L17" s="104"/>
      <c r="M17" s="105"/>
      <c r="N17" s="24"/>
      <c r="O17" s="24"/>
      <c r="P17" s="24"/>
      <c r="Q17" s="24"/>
      <c r="R17" s="24"/>
      <c r="S17" s="24"/>
      <c r="T17" s="24"/>
      <c r="U17" s="24"/>
      <c r="V17" s="24"/>
      <c r="W17" s="24"/>
      <c r="X17" s="24"/>
      <c r="Y17" s="24"/>
      <c r="Z17" s="24"/>
      <c r="AA17" s="24"/>
    </row>
    <row r="18">
      <c r="A18" s="88" t="s">
        <v>150</v>
      </c>
      <c r="B18" s="90" t="s">
        <v>151</v>
      </c>
      <c r="C18" s="91" t="s">
        <v>152</v>
      </c>
      <c r="D18" s="93" t="s">
        <v>154</v>
      </c>
      <c r="E18" s="59"/>
      <c r="F18" s="59"/>
      <c r="G18" s="102" t="s">
        <v>157</v>
      </c>
      <c r="H18" s="103">
        <v>46213.0</v>
      </c>
      <c r="I18" s="88" t="s">
        <v>23</v>
      </c>
      <c r="J18" s="91" t="s">
        <v>174</v>
      </c>
      <c r="K18" s="104"/>
      <c r="L18" s="104"/>
      <c r="M18" s="105"/>
      <c r="N18" s="24"/>
      <c r="O18" s="24"/>
      <c r="P18" s="24"/>
      <c r="Q18" s="24"/>
      <c r="R18" s="24"/>
      <c r="S18" s="24"/>
      <c r="T18" s="24"/>
      <c r="U18" s="24"/>
      <c r="V18" s="24"/>
      <c r="W18" s="24"/>
      <c r="X18" s="24"/>
      <c r="Y18" s="24"/>
      <c r="Z18" s="24"/>
      <c r="AA18" s="24"/>
    </row>
    <row r="19">
      <c r="A19" s="87" t="s">
        <v>176</v>
      </c>
      <c r="B19" s="59"/>
      <c r="C19" s="59"/>
      <c r="D19" s="59"/>
      <c r="E19" s="59"/>
      <c r="F19" s="59"/>
      <c r="G19" s="59"/>
      <c r="H19" s="59"/>
      <c r="I19" s="59"/>
      <c r="J19" s="59"/>
      <c r="K19" s="59"/>
      <c r="L19" s="59"/>
      <c r="M19" s="60"/>
      <c r="N19" s="24"/>
      <c r="O19" s="24"/>
      <c r="P19" s="24"/>
      <c r="Q19" s="24"/>
      <c r="R19" s="24"/>
      <c r="S19" s="24"/>
      <c r="T19" s="24"/>
      <c r="U19" s="24"/>
      <c r="V19" s="24"/>
      <c r="W19" s="24"/>
      <c r="X19" s="24"/>
      <c r="Y19" s="24"/>
      <c r="Z19" s="24"/>
      <c r="AA19" s="24"/>
    </row>
    <row r="20" ht="85.5" customHeight="1">
      <c r="A20" s="88" t="s">
        <v>183</v>
      </c>
      <c r="B20" s="90" t="s">
        <v>184</v>
      </c>
      <c r="C20" s="91" t="s">
        <v>185</v>
      </c>
      <c r="D20" s="93" t="s">
        <v>186</v>
      </c>
      <c r="E20" s="59"/>
      <c r="F20" s="59"/>
      <c r="G20" s="102" t="s">
        <v>187</v>
      </c>
      <c r="H20" s="103">
        <v>46213.0</v>
      </c>
      <c r="I20" s="88" t="s">
        <v>23</v>
      </c>
      <c r="J20" s="91" t="s">
        <v>198</v>
      </c>
      <c r="K20" s="104"/>
      <c r="L20" s="104"/>
      <c r="M20" s="105"/>
      <c r="N20" s="24"/>
      <c r="O20" s="24"/>
      <c r="P20" s="24"/>
      <c r="Q20" s="24"/>
      <c r="R20" s="24"/>
      <c r="S20" s="24"/>
      <c r="T20" s="24"/>
      <c r="U20" s="24"/>
      <c r="V20" s="24"/>
      <c r="W20" s="24"/>
      <c r="X20" s="24"/>
      <c r="Y20" s="24"/>
      <c r="Z20" s="24"/>
      <c r="AA20" s="24"/>
    </row>
    <row r="21" ht="84.0" customHeight="1">
      <c r="A21" s="88" t="s">
        <v>202</v>
      </c>
      <c r="B21" s="90" t="s">
        <v>205</v>
      </c>
      <c r="C21" s="91" t="s">
        <v>206</v>
      </c>
      <c r="D21" s="93" t="s">
        <v>186</v>
      </c>
      <c r="E21" s="59"/>
      <c r="F21" s="59"/>
      <c r="G21" s="102" t="s">
        <v>207</v>
      </c>
      <c r="H21" s="103">
        <v>46213.0</v>
      </c>
      <c r="I21" s="88" t="s">
        <v>23</v>
      </c>
      <c r="J21" s="91" t="s">
        <v>217</v>
      </c>
      <c r="K21" s="104"/>
      <c r="L21" s="104"/>
      <c r="M21" s="105"/>
      <c r="N21" s="24"/>
      <c r="O21" s="24"/>
      <c r="P21" s="24"/>
      <c r="Q21" s="24"/>
      <c r="R21" s="24"/>
      <c r="S21" s="24"/>
      <c r="T21" s="24"/>
      <c r="U21" s="24"/>
      <c r="V21" s="24"/>
      <c r="W21" s="24"/>
      <c r="X21" s="24"/>
      <c r="Y21" s="24"/>
      <c r="Z21" s="24"/>
      <c r="AA21" s="24"/>
    </row>
    <row r="22">
      <c r="A22" s="87" t="s">
        <v>219</v>
      </c>
      <c r="B22" s="59"/>
      <c r="C22" s="59"/>
      <c r="D22" s="59"/>
      <c r="E22" s="59"/>
      <c r="F22" s="59"/>
      <c r="G22" s="59"/>
      <c r="H22" s="59"/>
      <c r="I22" s="59"/>
      <c r="J22" s="59"/>
      <c r="K22" s="59"/>
      <c r="L22" s="59"/>
      <c r="M22" s="60"/>
      <c r="N22" s="24"/>
      <c r="O22" s="24"/>
      <c r="P22" s="24"/>
      <c r="Q22" s="24"/>
      <c r="R22" s="24"/>
      <c r="S22" s="24"/>
      <c r="T22" s="24"/>
      <c r="U22" s="24"/>
      <c r="V22" s="24"/>
      <c r="W22" s="24"/>
      <c r="X22" s="24"/>
      <c r="Y22" s="24"/>
      <c r="Z22" s="24"/>
      <c r="AA22" s="24"/>
    </row>
    <row r="23">
      <c r="A23" s="88" t="s">
        <v>221</v>
      </c>
      <c r="B23" s="90" t="s">
        <v>222</v>
      </c>
      <c r="C23" s="91" t="s">
        <v>223</v>
      </c>
      <c r="D23" s="93" t="s">
        <v>224</v>
      </c>
      <c r="E23" s="59"/>
      <c r="F23" s="59"/>
      <c r="G23" s="102" t="s">
        <v>225</v>
      </c>
      <c r="H23" s="103">
        <v>46213.0</v>
      </c>
      <c r="I23" s="88" t="s">
        <v>23</v>
      </c>
      <c r="J23" s="91" t="s">
        <v>237</v>
      </c>
      <c r="K23" s="104"/>
      <c r="L23" s="104"/>
      <c r="M23" s="105"/>
      <c r="N23" s="24"/>
      <c r="O23" s="24"/>
      <c r="P23" s="24"/>
      <c r="Q23" s="24"/>
      <c r="R23" s="24"/>
      <c r="S23" s="24"/>
      <c r="T23" s="24"/>
      <c r="U23" s="24"/>
      <c r="V23" s="24"/>
      <c r="W23" s="24"/>
      <c r="X23" s="24"/>
      <c r="Y23" s="24"/>
      <c r="Z23" s="24"/>
      <c r="AA23" s="24"/>
    </row>
    <row r="24" ht="84.0" customHeight="1">
      <c r="A24" s="88" t="s">
        <v>240</v>
      </c>
      <c r="B24" s="90" t="s">
        <v>241</v>
      </c>
      <c r="C24" s="91" t="s">
        <v>242</v>
      </c>
      <c r="D24" s="93" t="s">
        <v>243</v>
      </c>
      <c r="E24" s="59"/>
      <c r="F24" s="59"/>
      <c r="G24" s="102" t="s">
        <v>249</v>
      </c>
      <c r="H24" s="103">
        <v>46213.0</v>
      </c>
      <c r="I24" s="88" t="s">
        <v>23</v>
      </c>
      <c r="J24" s="91" t="s">
        <v>258</v>
      </c>
      <c r="K24" s="104"/>
      <c r="L24" s="104"/>
      <c r="M24" s="105"/>
    </row>
    <row r="25" ht="67.5" customHeight="1">
      <c r="A25" s="88" t="s">
        <v>259</v>
      </c>
      <c r="B25" s="90" t="s">
        <v>260</v>
      </c>
      <c r="C25" s="91" t="s">
        <v>261</v>
      </c>
      <c r="D25" s="93" t="s">
        <v>262</v>
      </c>
      <c r="E25" s="59"/>
      <c r="F25" s="59"/>
      <c r="G25" s="102" t="s">
        <v>267</v>
      </c>
      <c r="H25" s="103">
        <v>46213.0</v>
      </c>
      <c r="I25" s="88" t="s">
        <v>23</v>
      </c>
      <c r="J25" s="91" t="s">
        <v>271</v>
      </c>
      <c r="K25" s="104"/>
      <c r="L25" s="104"/>
      <c r="M25" s="105"/>
      <c r="N25" s="24"/>
      <c r="O25" s="24"/>
      <c r="P25" s="24"/>
      <c r="Q25" s="24"/>
      <c r="R25" s="24"/>
      <c r="S25" s="24"/>
      <c r="T25" s="24"/>
      <c r="U25" s="24"/>
      <c r="V25" s="24"/>
      <c r="W25" s="24"/>
      <c r="X25" s="24"/>
      <c r="Y25" s="24"/>
      <c r="Z25" s="24"/>
      <c r="AA25" s="24"/>
    </row>
    <row r="26">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row>
    <row r="27">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row>
    <row r="28">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row>
    <row r="29">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row>
    <row r="30">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c r="AA30" s="24"/>
    </row>
    <row r="3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row>
    <row r="32">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row>
    <row r="33">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row>
    <row r="34">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row>
    <row r="35">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row>
    <row r="36">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row>
    <row r="37">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row>
    <row r="38">
      <c r="A38" s="24"/>
      <c r="B38" s="24"/>
      <c r="C38" s="24"/>
      <c r="D38" s="24"/>
      <c r="E38" s="24"/>
      <c r="F38" s="105"/>
      <c r="G38" s="24"/>
      <c r="H38" s="24"/>
      <c r="I38" s="24"/>
      <c r="J38" s="24"/>
      <c r="K38" s="24"/>
      <c r="L38" s="24"/>
      <c r="M38" s="24"/>
      <c r="N38" s="24"/>
      <c r="O38" s="24"/>
      <c r="P38" s="24"/>
      <c r="Q38" s="24"/>
      <c r="R38" s="24"/>
      <c r="S38" s="24"/>
      <c r="T38" s="24"/>
      <c r="U38" s="24"/>
      <c r="V38" s="24"/>
      <c r="W38" s="24"/>
      <c r="X38" s="24"/>
      <c r="Y38" s="24"/>
      <c r="Z38" s="24"/>
      <c r="AA38" s="24"/>
    </row>
    <row r="39">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row>
    <row r="40">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row>
    <row r="4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row>
    <row r="42">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row>
    <row r="43">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row>
    <row r="44">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row>
    <row r="4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row>
    <row r="46">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row>
    <row r="47">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row>
    <row r="48">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row>
    <row r="49">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row>
    <row r="50">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row>
    <row r="5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row>
    <row r="52">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row>
    <row r="53">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row>
    <row r="54">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row>
    <row r="5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row>
    <row r="56">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row>
    <row r="57">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row>
    <row r="58">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row>
    <row r="59">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row>
    <row r="60">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row>
    <row r="6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row>
    <row r="62">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row>
    <row r="63">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row>
    <row r="64">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row>
    <row r="6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row>
    <row r="66">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row>
    <row r="67">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row>
    <row r="68">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row>
    <row r="69">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row>
    <row r="70">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row>
    <row r="7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row>
    <row r="72">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row>
    <row r="73">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row>
    <row r="74">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row>
    <row r="7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row>
    <row r="76">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row>
    <row r="77">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row>
    <row r="78">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row>
    <row r="79">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row>
    <row r="80">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row>
    <row r="8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row>
    <row r="82">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row>
    <row r="83">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row>
    <row r="84">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row>
    <row r="8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row>
    <row r="86">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row>
    <row r="87">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row>
    <row r="88">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row>
    <row r="89">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row>
    <row r="90">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row>
    <row r="9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row>
    <row r="9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row>
    <row r="93">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row>
    <row r="94">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row>
    <row r="9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row>
    <row r="96">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row>
    <row r="97">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row>
    <row r="98">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row>
    <row r="99">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c r="AA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c r="AA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c r="AA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c r="AA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c r="AA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c r="AA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c r="AA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c r="AA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c r="AA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c r="AA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c r="AA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c r="AA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c r="AA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c r="AA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c r="AA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c r="AA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c r="AA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c r="AA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c r="AA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c r="AA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c r="AA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c r="AA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c r="AA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c r="AA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c r="AA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c r="AA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c r="AA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c r="AA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c r="AA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c r="AA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c r="AA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c r="AA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c r="AA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c r="AA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c r="AA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c r="AA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c r="AA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c r="AA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c r="AA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c r="AA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c r="AA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c r="AA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c r="AA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c r="AA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c r="AA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c r="AA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c r="AA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c r="AA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c r="AA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c r="AA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c r="AA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c r="AA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c r="AA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c r="AA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c r="AA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c r="AA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c r="AA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c r="AA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c r="AA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c r="AA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c r="AA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c r="AA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c r="AA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c r="AA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c r="AA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c r="AA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c r="AA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c r="AA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c r="AA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c r="AA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c r="AA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c r="AA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c r="AA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c r="AA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c r="AA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c r="AA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c r="AA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c r="AA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c r="AA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c r="AA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c r="AA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c r="AA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c r="AA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c r="AA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c r="AA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c r="AA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c r="AA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c r="AA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c r="AA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c r="AA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c r="AA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c r="AA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c r="AA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c r="AA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c r="AA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c r="AA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c r="AA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c r="AA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c r="AA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c r="AA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c r="AA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c r="AA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c r="AA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c r="AA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c r="AA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c r="AA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c r="AA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c r="AA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c r="AA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c r="AA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c r="AA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c r="AA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c r="AA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c r="AA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c r="AA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c r="AA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c r="AA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c r="AA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c r="AA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c r="AA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c r="AA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c r="AA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c r="AA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c r="AA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c r="AA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c r="AA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c r="AA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c r="AA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c r="AA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c r="AA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c r="AA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c r="AA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c r="AA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c r="AA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c r="AA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c r="AA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c r="AA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c r="AA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c r="AA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c r="AA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c r="AA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c r="AA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c r="AA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c r="AA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c r="AA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c r="AA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c r="AA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c r="AA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c r="AA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c r="AA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c r="AA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c r="AA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c r="AA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c r="AA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c r="AA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c r="AA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c r="AA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c r="AA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c r="AA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c r="AA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c r="AA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c r="AA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c r="AA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c r="AA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c r="AA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c r="AA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c r="AA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c r="AA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c r="AA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c r="AA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c r="AA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c r="AA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c r="AA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c r="AA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c r="AA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c r="AA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c r="AA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c r="AA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c r="AA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c r="AA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c r="AA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c r="AA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c r="AA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c r="AA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c r="AA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c r="AA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c r="AA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c r="AA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c r="AA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c r="AA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c r="AA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c r="AA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c r="AA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c r="AA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c r="AA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c r="AA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c r="AA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c r="AA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c r="AA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c r="AA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c r="AA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c r="AA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c r="AA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c r="AA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c r="AA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c r="AA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c r="AA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c r="AA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c r="AA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c r="AA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c r="AA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c r="AA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c r="AA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c r="AA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c r="AA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c r="AA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c r="AA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c r="AA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c r="AA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c r="AA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c r="AA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c r="AA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c r="AA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c r="AA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c r="AA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c r="AA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c r="AA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c r="AA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c r="AA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c r="AA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c r="AA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c r="AA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c r="AA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c r="AA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c r="AA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c r="AA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c r="AA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c r="AA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c r="AA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c r="AA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c r="AA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c r="AA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c r="AA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c r="AA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c r="AA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c r="AA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c r="AA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c r="AA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c r="AA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c r="AA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c r="AA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c r="AA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c r="AA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c r="AA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c r="AA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c r="AA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c r="AA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c r="AA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c r="AA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c r="AA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c r="AA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c r="AA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c r="AA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c r="AA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c r="AA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c r="AA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c r="AA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c r="AA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c r="AA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c r="AA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c r="AA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c r="AA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c r="AA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c r="AA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c r="AA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c r="AA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c r="AA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c r="AA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c r="AA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c r="AA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c r="AA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c r="AA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c r="AA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c r="AA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c r="AA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c r="AA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c r="AA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c r="AA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c r="AA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c r="AA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c r="AA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c r="AA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c r="AA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c r="AA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c r="AA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c r="AA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c r="AA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c r="AA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c r="AA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c r="AA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c r="AA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c r="AA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c r="AA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c r="AA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c r="AA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c r="AA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c r="AA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c r="AA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c r="AA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c r="AA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c r="AA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c r="AA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c r="AA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c r="AA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c r="AA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c r="AA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c r="AA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c r="AA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c r="AA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c r="AA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c r="AA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c r="AA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c r="AA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c r="AA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c r="AA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c r="AA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c r="AA977" s="24"/>
    </row>
    <row r="97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c r="AA978" s="24"/>
    </row>
    <row r="979">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c r="AA979" s="24"/>
    </row>
    <row r="980">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c r="AA980" s="24"/>
    </row>
    <row r="98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c r="AA981" s="24"/>
    </row>
    <row r="982">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c r="AA982" s="24"/>
    </row>
    <row r="983">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c r="AA983" s="24"/>
    </row>
    <row r="984">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c r="AA984" s="24"/>
    </row>
    <row r="98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c r="AA985" s="24"/>
    </row>
    <row r="986">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c r="AA986" s="24"/>
    </row>
    <row r="987">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c r="AA987" s="24"/>
    </row>
    <row r="988">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c r="AA988" s="24"/>
    </row>
    <row r="989">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c r="AA989" s="24"/>
    </row>
    <row r="990">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c r="AA990" s="24"/>
    </row>
    <row r="99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c r="AA991" s="24"/>
    </row>
    <row r="992">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c r="AA992" s="24"/>
    </row>
    <row r="993">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c r="AA993" s="24"/>
    </row>
    <row r="994">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c r="AA994" s="24"/>
    </row>
    <row r="995">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c r="AA995" s="24"/>
    </row>
    <row r="996">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c r="AA996" s="24"/>
    </row>
    <row r="997">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c r="AA997" s="24"/>
    </row>
    <row r="998">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c r="AA998" s="24"/>
    </row>
    <row r="999">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c r="AA999" s="24"/>
    </row>
    <row r="1000">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c r="AA1000" s="24"/>
    </row>
    <row r="1001">
      <c r="A1001" s="24"/>
      <c r="B1001" s="24"/>
      <c r="C1001" s="24"/>
      <c r="D1001" s="24"/>
      <c r="E1001" s="24"/>
      <c r="F1001" s="24"/>
      <c r="G1001" s="24"/>
      <c r="H1001" s="24"/>
      <c r="I1001" s="24"/>
      <c r="J1001" s="24"/>
      <c r="K1001" s="24"/>
      <c r="L1001" s="24"/>
      <c r="M1001" s="24"/>
      <c r="N1001" s="24"/>
      <c r="O1001" s="24"/>
      <c r="P1001" s="24"/>
      <c r="Q1001" s="24"/>
      <c r="R1001" s="24"/>
      <c r="S1001" s="24"/>
      <c r="T1001" s="24"/>
      <c r="U1001" s="24"/>
      <c r="V1001" s="24"/>
      <c r="W1001" s="24"/>
      <c r="X1001" s="24"/>
      <c r="Y1001" s="24"/>
      <c r="Z1001" s="24"/>
      <c r="AA1001" s="24"/>
    </row>
    <row r="1002">
      <c r="A1002" s="24"/>
      <c r="B1002" s="24"/>
      <c r="C1002" s="24"/>
      <c r="D1002" s="24"/>
      <c r="E1002" s="24"/>
      <c r="F1002" s="24"/>
      <c r="G1002" s="24"/>
      <c r="H1002" s="24"/>
      <c r="I1002" s="24"/>
      <c r="J1002" s="24"/>
      <c r="K1002" s="24"/>
      <c r="L1002" s="24"/>
      <c r="M1002" s="24"/>
      <c r="N1002" s="24"/>
      <c r="O1002" s="24"/>
      <c r="P1002" s="24"/>
      <c r="Q1002" s="24"/>
      <c r="R1002" s="24"/>
      <c r="S1002" s="24"/>
      <c r="T1002" s="24"/>
      <c r="U1002" s="24"/>
      <c r="V1002" s="24"/>
      <c r="W1002" s="24"/>
      <c r="X1002" s="24"/>
      <c r="Y1002" s="24"/>
      <c r="Z1002" s="24"/>
      <c r="AA1002" s="24"/>
    </row>
  </sheetData>
  <mergeCells count="30">
    <mergeCell ref="B1:D2"/>
    <mergeCell ref="B3:D3"/>
    <mergeCell ref="B4:D4"/>
    <mergeCell ref="B5:D5"/>
    <mergeCell ref="A9:A10"/>
    <mergeCell ref="B9:B10"/>
    <mergeCell ref="C9:C10"/>
    <mergeCell ref="D9:F10"/>
    <mergeCell ref="G9:G10"/>
    <mergeCell ref="H9:H10"/>
    <mergeCell ref="I9:I10"/>
    <mergeCell ref="J9:J10"/>
    <mergeCell ref="K9:K10"/>
    <mergeCell ref="L9:L10"/>
    <mergeCell ref="M9:M10"/>
    <mergeCell ref="F11:M11"/>
    <mergeCell ref="A12:M12"/>
    <mergeCell ref="D13:F13"/>
    <mergeCell ref="D14:F14"/>
    <mergeCell ref="A15:M15"/>
    <mergeCell ref="D16:F16"/>
    <mergeCell ref="D24:F24"/>
    <mergeCell ref="D25:F25"/>
    <mergeCell ref="D17:F17"/>
    <mergeCell ref="D18:F18"/>
    <mergeCell ref="A19:M19"/>
    <mergeCell ref="D20:F20"/>
    <mergeCell ref="D21:F21"/>
    <mergeCell ref="A22:M22"/>
    <mergeCell ref="D23:F23"/>
  </mergeCells>
  <hyperlinks>
    <hyperlink r:id="rId1" ref="G13"/>
    <hyperlink r:id="rId2" ref="G14"/>
    <hyperlink r:id="rId3" ref="M14"/>
    <hyperlink r:id="rId4" ref="G16"/>
    <hyperlink r:id="rId5" ref="G17"/>
    <hyperlink r:id="rId6" ref="G18"/>
    <hyperlink r:id="rId7" ref="G20"/>
    <hyperlink r:id="rId8" ref="G21"/>
    <hyperlink r:id="rId9" ref="G23"/>
    <hyperlink r:id="rId10" ref="G24"/>
    <hyperlink r:id="rId11" ref="G25"/>
  </hyperlinks>
  <drawing r:id="rId1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5"/>
    <col customWidth="1" min="2" max="2" width="29.38"/>
    <col customWidth="1" min="3" max="3" width="38.0"/>
    <col customWidth="1" min="6" max="6" width="19.0"/>
    <col customWidth="1" min="7" max="7" width="18.5"/>
    <col customWidth="1" min="8" max="8" width="20.13"/>
    <col customWidth="1" min="9" max="9" width="15.5"/>
    <col customWidth="1" min="10" max="10" width="21.38"/>
    <col customWidth="1" min="11" max="12" width="19.88"/>
    <col customWidth="1" min="13" max="13" width="22.38"/>
  </cols>
  <sheetData>
    <row r="1">
      <c r="A1" s="11" t="s">
        <v>3</v>
      </c>
      <c r="B1" s="18"/>
      <c r="E1" s="18"/>
      <c r="F1" s="18"/>
      <c r="G1" s="18"/>
      <c r="H1" s="18"/>
      <c r="I1" s="18"/>
      <c r="J1" s="18"/>
      <c r="K1" s="24"/>
      <c r="L1" s="24"/>
      <c r="M1" s="24"/>
      <c r="N1" s="24"/>
      <c r="O1" s="24"/>
      <c r="P1" s="24"/>
      <c r="Q1" s="24"/>
      <c r="R1" s="24"/>
      <c r="S1" s="24"/>
      <c r="T1" s="24"/>
      <c r="U1" s="24"/>
      <c r="V1" s="24"/>
      <c r="W1" s="24"/>
      <c r="X1" s="24"/>
      <c r="Y1" s="24"/>
      <c r="Z1" s="24"/>
      <c r="AA1" s="24"/>
    </row>
    <row r="2">
      <c r="A2" s="18"/>
      <c r="B2" s="44"/>
      <c r="C2" s="44"/>
      <c r="D2" s="44"/>
      <c r="E2" s="18"/>
      <c r="F2" s="18"/>
      <c r="G2" s="18"/>
      <c r="H2" s="18"/>
      <c r="I2" s="18"/>
      <c r="J2" s="18"/>
      <c r="K2" s="24"/>
      <c r="L2" s="24"/>
      <c r="M2" s="24"/>
      <c r="N2" s="24"/>
      <c r="O2" s="24"/>
      <c r="P2" s="24"/>
      <c r="Q2" s="24"/>
      <c r="R2" s="24"/>
      <c r="S2" s="24"/>
      <c r="T2" s="24"/>
      <c r="U2" s="24"/>
      <c r="V2" s="24"/>
      <c r="W2" s="24"/>
      <c r="X2" s="24"/>
      <c r="Y2" s="24"/>
      <c r="Z2" s="24"/>
      <c r="AA2" s="24"/>
    </row>
    <row r="3">
      <c r="A3" s="56" t="s">
        <v>60</v>
      </c>
      <c r="B3" s="58" t="s">
        <v>63</v>
      </c>
      <c r="C3" s="59"/>
      <c r="D3" s="60"/>
      <c r="E3" s="18"/>
      <c r="F3" s="18"/>
      <c r="G3" s="18"/>
      <c r="H3" s="18"/>
      <c r="I3" s="24"/>
      <c r="J3" s="24"/>
      <c r="K3" s="24"/>
      <c r="L3" s="24"/>
      <c r="M3" s="24"/>
      <c r="N3" s="24"/>
      <c r="O3" s="24"/>
      <c r="P3" s="24"/>
      <c r="Q3" s="24"/>
      <c r="R3" s="24"/>
      <c r="S3" s="24"/>
      <c r="T3" s="24"/>
      <c r="U3" s="24"/>
      <c r="V3" s="24"/>
      <c r="W3" s="24"/>
      <c r="X3" s="24"/>
      <c r="Y3" s="24"/>
      <c r="Z3" s="24"/>
      <c r="AA3" s="24"/>
    </row>
    <row r="4">
      <c r="A4" s="56" t="s">
        <v>69</v>
      </c>
      <c r="B4" s="58" t="s">
        <v>144</v>
      </c>
      <c r="C4" s="59"/>
      <c r="D4" s="60"/>
      <c r="E4" s="18"/>
      <c r="F4" s="18"/>
      <c r="G4" s="18"/>
      <c r="H4" s="18"/>
      <c r="I4" s="24"/>
      <c r="J4" s="24"/>
      <c r="K4" s="24"/>
      <c r="L4" s="24"/>
      <c r="M4" s="24"/>
      <c r="N4" s="24"/>
      <c r="O4" s="24"/>
      <c r="P4" s="24"/>
      <c r="Q4" s="24"/>
      <c r="R4" s="24"/>
      <c r="S4" s="24"/>
      <c r="T4" s="24"/>
      <c r="U4" s="24"/>
      <c r="V4" s="24"/>
      <c r="W4" s="24"/>
      <c r="X4" s="24"/>
      <c r="Y4" s="24"/>
      <c r="Z4" s="24"/>
      <c r="AA4" s="24"/>
    </row>
    <row r="5">
      <c r="A5" s="56" t="s">
        <v>83</v>
      </c>
      <c r="B5" s="58" t="s">
        <v>147</v>
      </c>
      <c r="C5" s="59"/>
      <c r="D5" s="60"/>
      <c r="E5" s="18"/>
      <c r="F5" s="18"/>
      <c r="G5" s="18"/>
      <c r="H5" s="18"/>
      <c r="I5" s="24"/>
      <c r="J5" s="24"/>
      <c r="K5" s="24"/>
      <c r="L5" s="24"/>
      <c r="M5" s="24"/>
      <c r="N5" s="24"/>
      <c r="O5" s="24"/>
      <c r="P5" s="24"/>
      <c r="Q5" s="24"/>
      <c r="R5" s="24"/>
      <c r="S5" s="24"/>
      <c r="T5" s="24"/>
      <c r="U5" s="24"/>
      <c r="V5" s="24"/>
      <c r="W5" s="24"/>
      <c r="X5" s="24"/>
      <c r="Y5" s="24"/>
      <c r="Z5" s="24"/>
      <c r="AA5" s="24"/>
    </row>
    <row r="6">
      <c r="A6" s="69" t="s">
        <v>23</v>
      </c>
      <c r="B6" s="70">
        <v>12.0</v>
      </c>
      <c r="C6" s="72" t="s">
        <v>25</v>
      </c>
      <c r="D6" s="73">
        <v>0.0</v>
      </c>
      <c r="E6" s="18"/>
      <c r="F6" s="18"/>
      <c r="G6" s="18"/>
      <c r="H6" s="18"/>
      <c r="I6" s="24"/>
      <c r="J6" s="24"/>
      <c r="K6" s="24"/>
      <c r="L6" s="24"/>
      <c r="M6" s="24"/>
      <c r="N6" s="24"/>
      <c r="O6" s="24"/>
      <c r="P6" s="24"/>
      <c r="Q6" s="24"/>
      <c r="R6" s="24"/>
      <c r="S6" s="24"/>
      <c r="T6" s="24"/>
      <c r="U6" s="24"/>
      <c r="V6" s="24"/>
      <c r="W6" s="24"/>
      <c r="X6" s="24"/>
      <c r="Y6" s="24"/>
      <c r="Z6" s="24"/>
      <c r="AA6" s="24"/>
    </row>
    <row r="7">
      <c r="A7" s="69" t="s">
        <v>24</v>
      </c>
      <c r="B7" s="70">
        <v>7.0</v>
      </c>
      <c r="C7" s="75" t="s">
        <v>99</v>
      </c>
      <c r="D7" s="73">
        <v>19.0</v>
      </c>
      <c r="E7" s="18"/>
      <c r="F7" s="18"/>
      <c r="G7" s="18"/>
      <c r="H7" s="18"/>
      <c r="I7" s="24"/>
      <c r="J7" s="24"/>
      <c r="K7" s="24"/>
      <c r="L7" s="24"/>
      <c r="M7" s="24"/>
      <c r="N7" s="24"/>
      <c r="O7" s="24"/>
      <c r="P7" s="24"/>
      <c r="Q7" s="24"/>
      <c r="R7" s="24"/>
      <c r="S7" s="24"/>
      <c r="T7" s="24"/>
      <c r="U7" s="24"/>
      <c r="V7" s="24"/>
      <c r="W7" s="24"/>
      <c r="X7" s="24"/>
      <c r="Y7" s="24"/>
      <c r="Z7" s="24"/>
      <c r="AA7" s="24"/>
    </row>
    <row r="8">
      <c r="A8" s="76"/>
      <c r="B8" s="77"/>
      <c r="C8" s="77"/>
      <c r="D8" s="77"/>
      <c r="E8" s="18"/>
      <c r="F8" s="18"/>
      <c r="G8" s="18"/>
      <c r="H8" s="18"/>
      <c r="I8" s="78"/>
      <c r="J8" s="78"/>
      <c r="K8" s="24"/>
      <c r="L8" s="24"/>
      <c r="M8" s="24"/>
      <c r="N8" s="24"/>
      <c r="O8" s="24"/>
      <c r="P8" s="24"/>
      <c r="Q8" s="24"/>
      <c r="R8" s="24"/>
      <c r="S8" s="24"/>
      <c r="T8" s="24"/>
      <c r="U8" s="24"/>
      <c r="V8" s="24"/>
      <c r="W8" s="24"/>
      <c r="X8" s="24"/>
      <c r="Y8" s="24"/>
      <c r="Z8" s="24"/>
      <c r="AA8" s="24"/>
    </row>
    <row r="9">
      <c r="A9" s="79" t="s">
        <v>101</v>
      </c>
      <c r="B9" s="80" t="s">
        <v>102</v>
      </c>
      <c r="C9" s="79" t="s">
        <v>103</v>
      </c>
      <c r="D9" s="81" t="s">
        <v>104</v>
      </c>
      <c r="G9" s="79" t="s">
        <v>106</v>
      </c>
      <c r="H9" s="82" t="s">
        <v>107</v>
      </c>
      <c r="I9" s="82" t="s">
        <v>109</v>
      </c>
      <c r="J9" s="82" t="s">
        <v>110</v>
      </c>
      <c r="K9" s="83" t="s">
        <v>111</v>
      </c>
      <c r="L9" s="82" t="s">
        <v>112</v>
      </c>
      <c r="M9" s="82" t="s">
        <v>113</v>
      </c>
      <c r="N9" s="24"/>
      <c r="O9" s="24"/>
      <c r="P9" s="24"/>
      <c r="Q9" s="24"/>
      <c r="R9" s="24"/>
      <c r="S9" s="24"/>
      <c r="T9" s="24"/>
      <c r="U9" s="24"/>
      <c r="V9" s="24"/>
      <c r="W9" s="24"/>
      <c r="X9" s="24"/>
      <c r="Y9" s="24"/>
      <c r="Z9" s="24"/>
      <c r="AA9" s="24"/>
    </row>
    <row r="10">
      <c r="A10" s="84"/>
      <c r="B10" s="84"/>
      <c r="C10" s="84"/>
      <c r="D10" s="85"/>
      <c r="E10" s="44"/>
      <c r="F10" s="44"/>
      <c r="G10" s="84"/>
      <c r="H10" s="84"/>
      <c r="I10" s="84"/>
      <c r="J10" s="84"/>
      <c r="K10" s="84"/>
      <c r="L10" s="84"/>
      <c r="M10" s="84"/>
      <c r="N10" s="24"/>
      <c r="O10" s="24"/>
      <c r="P10" s="24"/>
      <c r="Q10" s="24"/>
      <c r="R10" s="24"/>
      <c r="S10" s="24"/>
      <c r="T10" s="24"/>
      <c r="U10" s="24"/>
      <c r="V10" s="24"/>
      <c r="W10" s="24"/>
      <c r="X10" s="24"/>
      <c r="Y10" s="24"/>
      <c r="Z10" s="24"/>
      <c r="AA10" s="24"/>
    </row>
    <row r="11">
      <c r="A11" s="86"/>
      <c r="B11" s="77"/>
      <c r="C11" s="77"/>
      <c r="D11" s="77"/>
      <c r="E11" s="77"/>
      <c r="F11" s="77"/>
      <c r="G11" s="59"/>
      <c r="H11" s="59"/>
      <c r="I11" s="59"/>
      <c r="J11" s="59"/>
      <c r="K11" s="59"/>
      <c r="L11" s="59"/>
      <c r="M11" s="59"/>
      <c r="N11" s="24"/>
      <c r="O11" s="24"/>
      <c r="P11" s="24"/>
      <c r="Q11" s="24"/>
      <c r="R11" s="24"/>
      <c r="S11" s="24"/>
      <c r="T11" s="24"/>
      <c r="U11" s="24"/>
      <c r="V11" s="24"/>
      <c r="W11" s="24"/>
      <c r="X11" s="24"/>
      <c r="Y11" s="24"/>
      <c r="Z11" s="24"/>
      <c r="AA11" s="24"/>
    </row>
    <row r="12">
      <c r="A12" s="87" t="s">
        <v>119</v>
      </c>
      <c r="B12" s="59"/>
      <c r="C12" s="59"/>
      <c r="D12" s="59"/>
      <c r="E12" s="59"/>
      <c r="F12" s="59"/>
      <c r="G12" s="59"/>
      <c r="H12" s="59"/>
      <c r="I12" s="59"/>
      <c r="J12" s="59"/>
      <c r="K12" s="59"/>
      <c r="L12" s="59"/>
      <c r="M12" s="60"/>
      <c r="N12" s="24"/>
      <c r="O12" s="24"/>
      <c r="P12" s="24"/>
      <c r="Q12" s="24"/>
      <c r="R12" s="24"/>
      <c r="S12" s="24"/>
      <c r="T12" s="24"/>
      <c r="U12" s="24"/>
      <c r="V12" s="24"/>
      <c r="W12" s="24"/>
      <c r="X12" s="24"/>
      <c r="Y12" s="24"/>
      <c r="Z12" s="24"/>
      <c r="AA12" s="24"/>
    </row>
    <row r="13" ht="126.75" customHeight="1">
      <c r="A13" s="88" t="s">
        <v>153</v>
      </c>
      <c r="B13" s="90" t="s">
        <v>155</v>
      </c>
      <c r="C13" s="91" t="s">
        <v>156</v>
      </c>
      <c r="D13" s="93" t="s">
        <v>158</v>
      </c>
      <c r="E13" s="59"/>
      <c r="F13" s="59"/>
      <c r="G13" s="102" t="s">
        <v>159</v>
      </c>
      <c r="H13" s="103">
        <v>46218.0</v>
      </c>
      <c r="I13" s="88" t="s">
        <v>23</v>
      </c>
      <c r="J13" s="91" t="s">
        <v>160</v>
      </c>
      <c r="K13" s="104"/>
      <c r="L13" s="24"/>
      <c r="M13" s="105"/>
      <c r="N13" s="24"/>
      <c r="O13" s="24"/>
      <c r="P13" s="24"/>
      <c r="Q13" s="24"/>
      <c r="R13" s="24"/>
      <c r="S13" s="24"/>
      <c r="T13" s="24"/>
      <c r="U13" s="24"/>
      <c r="V13" s="24"/>
      <c r="W13" s="24"/>
      <c r="X13" s="24"/>
      <c r="Y13" s="24"/>
      <c r="Z13" s="24"/>
      <c r="AA13" s="24"/>
    </row>
    <row r="14">
      <c r="A14" s="87" t="s">
        <v>135</v>
      </c>
      <c r="B14" s="59"/>
      <c r="C14" s="59"/>
      <c r="D14" s="59"/>
      <c r="E14" s="59"/>
      <c r="F14" s="59"/>
      <c r="G14" s="59"/>
      <c r="H14" s="59"/>
      <c r="I14" s="59"/>
      <c r="J14" s="59"/>
      <c r="K14" s="59"/>
      <c r="L14" s="59"/>
      <c r="M14" s="60"/>
      <c r="N14" s="24"/>
      <c r="O14" s="24"/>
      <c r="P14" s="24"/>
      <c r="Q14" s="24"/>
      <c r="R14" s="24"/>
      <c r="S14" s="24"/>
      <c r="T14" s="24"/>
      <c r="U14" s="24"/>
      <c r="V14" s="24"/>
      <c r="W14" s="24"/>
      <c r="X14" s="24"/>
      <c r="Y14" s="24"/>
      <c r="Z14" s="24"/>
      <c r="AA14" s="24"/>
    </row>
    <row r="15">
      <c r="A15" s="88" t="s">
        <v>162</v>
      </c>
      <c r="B15" s="90" t="s">
        <v>163</v>
      </c>
      <c r="C15" s="91" t="s">
        <v>164</v>
      </c>
      <c r="D15" s="93" t="s">
        <v>165</v>
      </c>
      <c r="E15" s="59"/>
      <c r="F15" s="59"/>
      <c r="G15" s="102" t="s">
        <v>166</v>
      </c>
      <c r="H15" s="103">
        <v>46218.0</v>
      </c>
      <c r="I15" s="88" t="s">
        <v>23</v>
      </c>
      <c r="J15" s="91" t="s">
        <v>167</v>
      </c>
      <c r="K15" s="103"/>
      <c r="L15" s="88"/>
      <c r="M15" s="91"/>
      <c r="N15" s="24"/>
      <c r="O15" s="24"/>
      <c r="P15" s="24"/>
      <c r="Q15" s="24"/>
      <c r="R15" s="24"/>
      <c r="S15" s="24"/>
      <c r="T15" s="24"/>
      <c r="U15" s="24"/>
      <c r="V15" s="24"/>
      <c r="W15" s="24"/>
      <c r="X15" s="24"/>
      <c r="Y15" s="24"/>
      <c r="Z15" s="24"/>
      <c r="AA15" s="24"/>
    </row>
    <row r="16" ht="86.25" customHeight="1">
      <c r="A16" s="88" t="s">
        <v>168</v>
      </c>
      <c r="B16" s="90" t="s">
        <v>169</v>
      </c>
      <c r="C16" s="91" t="s">
        <v>170</v>
      </c>
      <c r="D16" s="93" t="s">
        <v>171</v>
      </c>
      <c r="E16" s="59"/>
      <c r="F16" s="59"/>
      <c r="G16" s="102" t="s">
        <v>173</v>
      </c>
      <c r="H16" s="103">
        <v>46218.0</v>
      </c>
      <c r="I16" s="88" t="s">
        <v>23</v>
      </c>
      <c r="J16" s="91" t="s">
        <v>171</v>
      </c>
      <c r="K16" s="104"/>
      <c r="L16" s="104"/>
      <c r="M16" s="105"/>
      <c r="N16" s="24"/>
      <c r="O16" s="24"/>
      <c r="P16" s="24"/>
      <c r="Q16" s="24"/>
      <c r="R16" s="24"/>
      <c r="S16" s="24"/>
      <c r="T16" s="24"/>
      <c r="U16" s="24"/>
      <c r="V16" s="24"/>
      <c r="W16" s="24"/>
      <c r="X16" s="24"/>
      <c r="Y16" s="24"/>
      <c r="Z16" s="24"/>
      <c r="AA16" s="24"/>
    </row>
    <row r="17" ht="84.75" customHeight="1">
      <c r="A17" s="88" t="s">
        <v>178</v>
      </c>
      <c r="B17" s="90" t="s">
        <v>179</v>
      </c>
      <c r="C17" s="91" t="s">
        <v>180</v>
      </c>
      <c r="D17" s="93" t="s">
        <v>181</v>
      </c>
      <c r="E17" s="59"/>
      <c r="F17" s="59"/>
      <c r="G17" s="102" t="s">
        <v>182</v>
      </c>
      <c r="H17" s="103">
        <v>46218.0</v>
      </c>
      <c r="I17" s="88" t="s">
        <v>23</v>
      </c>
      <c r="J17" s="91" t="s">
        <v>181</v>
      </c>
      <c r="K17" s="104"/>
      <c r="L17" s="104"/>
      <c r="M17" s="105"/>
      <c r="N17" s="24"/>
      <c r="O17" s="24"/>
      <c r="P17" s="24"/>
      <c r="Q17" s="24"/>
      <c r="R17" s="24"/>
      <c r="S17" s="24"/>
      <c r="T17" s="24"/>
      <c r="U17" s="24"/>
      <c r="V17" s="24"/>
      <c r="W17" s="24"/>
      <c r="X17" s="24"/>
      <c r="Y17" s="24"/>
      <c r="Z17" s="24"/>
      <c r="AA17" s="24"/>
    </row>
    <row r="18">
      <c r="A18" s="88" t="s">
        <v>188</v>
      </c>
      <c r="B18" s="90" t="s">
        <v>189</v>
      </c>
      <c r="C18" s="91" t="s">
        <v>190</v>
      </c>
      <c r="D18" s="93" t="s">
        <v>191</v>
      </c>
      <c r="E18" s="59"/>
      <c r="F18" s="59"/>
      <c r="G18" s="102" t="s">
        <v>192</v>
      </c>
      <c r="H18" s="103">
        <v>46218.0</v>
      </c>
      <c r="I18" s="88" t="s">
        <v>23</v>
      </c>
      <c r="J18" s="91" t="s">
        <v>191</v>
      </c>
      <c r="K18" s="104"/>
      <c r="L18" s="104"/>
      <c r="M18" s="105"/>
      <c r="N18" s="24"/>
      <c r="O18" s="24"/>
      <c r="P18" s="24"/>
      <c r="Q18" s="24"/>
      <c r="R18" s="24"/>
      <c r="S18" s="24"/>
      <c r="T18" s="24"/>
      <c r="U18" s="24"/>
      <c r="V18" s="24"/>
      <c r="W18" s="24"/>
      <c r="X18" s="24"/>
      <c r="Y18" s="24"/>
      <c r="Z18" s="24"/>
      <c r="AA18" s="24"/>
    </row>
    <row r="19">
      <c r="A19" s="88" t="s">
        <v>193</v>
      </c>
      <c r="B19" s="90" t="s">
        <v>194</v>
      </c>
      <c r="C19" s="91" t="s">
        <v>195</v>
      </c>
      <c r="D19" s="93" t="s">
        <v>196</v>
      </c>
      <c r="E19" s="59"/>
      <c r="F19" s="59"/>
      <c r="G19" s="102" t="s">
        <v>197</v>
      </c>
      <c r="H19" s="103">
        <v>46218.0</v>
      </c>
      <c r="I19" s="88" t="s">
        <v>23</v>
      </c>
      <c r="J19" s="91" t="s">
        <v>196</v>
      </c>
      <c r="K19" s="104"/>
      <c r="L19" s="104"/>
      <c r="M19" s="105"/>
      <c r="N19" s="24"/>
      <c r="O19" s="24"/>
      <c r="P19" s="24"/>
      <c r="Q19" s="24"/>
      <c r="R19" s="24"/>
      <c r="S19" s="24"/>
      <c r="T19" s="24"/>
      <c r="U19" s="24"/>
      <c r="V19" s="24"/>
      <c r="W19" s="24"/>
      <c r="X19" s="24"/>
      <c r="Y19" s="24"/>
      <c r="Z19" s="24"/>
      <c r="AA19" s="24"/>
    </row>
    <row r="20">
      <c r="A20" s="88" t="s">
        <v>199</v>
      </c>
      <c r="B20" s="90" t="s">
        <v>200</v>
      </c>
      <c r="C20" s="91" t="s">
        <v>201</v>
      </c>
      <c r="D20" s="93" t="s">
        <v>203</v>
      </c>
      <c r="E20" s="59"/>
      <c r="F20" s="59"/>
      <c r="G20" s="102" t="s">
        <v>204</v>
      </c>
      <c r="H20" s="103">
        <v>46218.0</v>
      </c>
      <c r="I20" s="88" t="s">
        <v>23</v>
      </c>
      <c r="J20" s="91" t="s">
        <v>203</v>
      </c>
      <c r="K20" s="104"/>
      <c r="L20" s="104"/>
      <c r="M20" s="105"/>
      <c r="N20" s="24"/>
      <c r="O20" s="24"/>
      <c r="P20" s="24"/>
      <c r="Q20" s="24"/>
      <c r="R20" s="24"/>
      <c r="S20" s="24"/>
      <c r="T20" s="24"/>
      <c r="U20" s="24"/>
      <c r="V20" s="24"/>
      <c r="W20" s="24"/>
      <c r="X20" s="24"/>
      <c r="Y20" s="24"/>
      <c r="Z20" s="24"/>
      <c r="AA20" s="24"/>
    </row>
    <row r="21">
      <c r="A21" s="88" t="s">
        <v>208</v>
      </c>
      <c r="B21" s="90" t="s">
        <v>209</v>
      </c>
      <c r="C21" s="91" t="s">
        <v>210</v>
      </c>
      <c r="D21" s="93" t="s">
        <v>211</v>
      </c>
      <c r="E21" s="59"/>
      <c r="F21" s="59"/>
      <c r="G21" s="102" t="s">
        <v>212</v>
      </c>
      <c r="H21" s="103">
        <v>46218.0</v>
      </c>
      <c r="I21" s="88" t="s">
        <v>23</v>
      </c>
      <c r="J21" s="91" t="s">
        <v>211</v>
      </c>
      <c r="K21" s="104"/>
      <c r="L21" s="104"/>
      <c r="M21" s="105"/>
      <c r="N21" s="24"/>
      <c r="O21" s="24"/>
      <c r="P21" s="24"/>
      <c r="Q21" s="24"/>
      <c r="R21" s="24"/>
      <c r="S21" s="24"/>
      <c r="T21" s="24"/>
      <c r="U21" s="24"/>
      <c r="V21" s="24"/>
      <c r="W21" s="24"/>
      <c r="X21" s="24"/>
      <c r="Y21" s="24"/>
      <c r="Z21" s="24"/>
      <c r="AA21" s="24"/>
    </row>
    <row r="22">
      <c r="A22" s="88" t="s">
        <v>213</v>
      </c>
      <c r="B22" s="90" t="s">
        <v>214</v>
      </c>
      <c r="C22" s="91" t="s">
        <v>215</v>
      </c>
      <c r="D22" s="93" t="s">
        <v>216</v>
      </c>
      <c r="E22" s="59"/>
      <c r="F22" s="59"/>
      <c r="G22" s="102" t="s">
        <v>218</v>
      </c>
      <c r="H22" s="103">
        <v>46218.0</v>
      </c>
      <c r="I22" s="88" t="s">
        <v>23</v>
      </c>
      <c r="J22" s="91" t="s">
        <v>216</v>
      </c>
      <c r="K22" s="104"/>
      <c r="L22" s="104"/>
      <c r="M22" s="105"/>
      <c r="N22" s="24"/>
      <c r="O22" s="24"/>
      <c r="P22" s="24"/>
      <c r="Q22" s="24"/>
      <c r="R22" s="24"/>
      <c r="S22" s="24"/>
      <c r="T22" s="24"/>
      <c r="U22" s="24"/>
      <c r="V22" s="24"/>
      <c r="W22" s="24"/>
      <c r="X22" s="24"/>
      <c r="Y22" s="24"/>
      <c r="Z22" s="24"/>
      <c r="AA22" s="24"/>
    </row>
    <row r="23">
      <c r="A23" s="87" t="s">
        <v>220</v>
      </c>
      <c r="B23" s="59"/>
      <c r="C23" s="59"/>
      <c r="D23" s="59"/>
      <c r="E23" s="59"/>
      <c r="F23" s="59"/>
      <c r="G23" s="59"/>
      <c r="H23" s="59"/>
      <c r="I23" s="59"/>
      <c r="J23" s="59"/>
      <c r="K23" s="59"/>
      <c r="L23" s="59"/>
      <c r="M23" s="60"/>
      <c r="N23" s="24"/>
      <c r="O23" s="24"/>
      <c r="P23" s="24"/>
      <c r="Q23" s="24"/>
      <c r="R23" s="24"/>
      <c r="S23" s="24"/>
      <c r="T23" s="24"/>
      <c r="U23" s="24"/>
      <c r="V23" s="24"/>
      <c r="W23" s="24"/>
      <c r="X23" s="24"/>
      <c r="Y23" s="24"/>
      <c r="Z23" s="24"/>
      <c r="AA23" s="24"/>
    </row>
    <row r="24" ht="83.25" customHeight="1">
      <c r="A24" s="88" t="s">
        <v>226</v>
      </c>
      <c r="B24" s="90" t="s">
        <v>227</v>
      </c>
      <c r="C24" s="91" t="s">
        <v>228</v>
      </c>
      <c r="D24" s="93" t="s">
        <v>229</v>
      </c>
      <c r="E24" s="59"/>
      <c r="F24" s="59"/>
      <c r="G24" s="102" t="s">
        <v>230</v>
      </c>
      <c r="H24" s="103">
        <v>46218.0</v>
      </c>
      <c r="I24" s="88" t="s">
        <v>23</v>
      </c>
      <c r="J24" s="91" t="s">
        <v>231</v>
      </c>
      <c r="K24" s="104"/>
      <c r="L24" s="104"/>
      <c r="M24" s="105"/>
      <c r="N24" s="24"/>
      <c r="O24" s="24"/>
      <c r="P24" s="24"/>
      <c r="Q24" s="24"/>
      <c r="R24" s="24"/>
      <c r="S24" s="24"/>
      <c r="T24" s="24"/>
      <c r="U24" s="24"/>
      <c r="V24" s="24"/>
      <c r="W24" s="24"/>
      <c r="X24" s="24"/>
      <c r="Y24" s="24"/>
      <c r="Z24" s="24"/>
      <c r="AA24" s="24"/>
    </row>
    <row r="25" ht="93.75" customHeight="1">
      <c r="A25" s="88" t="s">
        <v>232</v>
      </c>
      <c r="B25" s="90" t="s">
        <v>233</v>
      </c>
      <c r="C25" s="91" t="s">
        <v>234</v>
      </c>
      <c r="D25" s="93" t="s">
        <v>235</v>
      </c>
      <c r="E25" s="59"/>
      <c r="F25" s="59"/>
      <c r="G25" s="102" t="s">
        <v>236</v>
      </c>
      <c r="H25" s="103">
        <v>46218.0</v>
      </c>
      <c r="I25" s="88" t="s">
        <v>24</v>
      </c>
      <c r="J25" s="91" t="s">
        <v>238</v>
      </c>
      <c r="K25" s="103">
        <v>46219.0</v>
      </c>
      <c r="L25" s="88" t="s">
        <v>23</v>
      </c>
      <c r="M25" s="125" t="s">
        <v>239</v>
      </c>
      <c r="N25" s="24"/>
      <c r="O25" s="24"/>
      <c r="P25" s="24"/>
      <c r="Q25" s="24"/>
      <c r="R25" s="24"/>
      <c r="S25" s="24"/>
      <c r="T25" s="24"/>
      <c r="U25" s="24"/>
      <c r="V25" s="24"/>
      <c r="W25" s="24"/>
      <c r="X25" s="24"/>
      <c r="Y25" s="24"/>
      <c r="Z25" s="24"/>
      <c r="AA25" s="24"/>
    </row>
    <row r="26" ht="109.5" customHeight="1">
      <c r="A26" s="88" t="s">
        <v>244</v>
      </c>
      <c r="B26" s="90" t="s">
        <v>245</v>
      </c>
      <c r="C26" s="91" t="s">
        <v>246</v>
      </c>
      <c r="D26" s="93" t="s">
        <v>247</v>
      </c>
      <c r="E26" s="59"/>
      <c r="F26" s="59"/>
      <c r="G26" s="102" t="s">
        <v>248</v>
      </c>
      <c r="H26" s="103">
        <v>46218.0</v>
      </c>
      <c r="I26" s="88" t="s">
        <v>23</v>
      </c>
      <c r="J26" s="91" t="s">
        <v>250</v>
      </c>
      <c r="K26" s="104"/>
      <c r="L26" s="104"/>
      <c r="M26" s="105"/>
      <c r="N26" s="24"/>
      <c r="O26" s="24"/>
      <c r="P26" s="24"/>
      <c r="Q26" s="24"/>
      <c r="R26" s="24"/>
      <c r="S26" s="24"/>
      <c r="T26" s="24"/>
      <c r="U26" s="24"/>
      <c r="V26" s="24"/>
      <c r="W26" s="24"/>
      <c r="X26" s="24"/>
      <c r="Y26" s="24"/>
      <c r="Z26" s="24"/>
      <c r="AA26" s="24"/>
    </row>
    <row r="27" ht="84.75" customHeight="1">
      <c r="A27" s="88" t="s">
        <v>251</v>
      </c>
      <c r="B27" s="90" t="s">
        <v>252</v>
      </c>
      <c r="C27" s="91" t="s">
        <v>253</v>
      </c>
      <c r="D27" s="93" t="s">
        <v>254</v>
      </c>
      <c r="E27" s="59"/>
      <c r="F27" s="59"/>
      <c r="G27" s="102" t="s">
        <v>255</v>
      </c>
      <c r="H27" s="103">
        <v>46218.0</v>
      </c>
      <c r="I27" s="88" t="s">
        <v>24</v>
      </c>
      <c r="J27" s="91" t="s">
        <v>256</v>
      </c>
      <c r="K27" s="103">
        <v>46219.0</v>
      </c>
      <c r="L27" s="88" t="s">
        <v>23</v>
      </c>
      <c r="M27" s="125" t="s">
        <v>257</v>
      </c>
      <c r="N27" s="24"/>
      <c r="O27" s="24"/>
      <c r="P27" s="24"/>
      <c r="Q27" s="24"/>
      <c r="R27" s="24"/>
      <c r="S27" s="24"/>
      <c r="T27" s="24"/>
      <c r="U27" s="24"/>
      <c r="V27" s="24"/>
      <c r="W27" s="24"/>
      <c r="X27" s="24"/>
      <c r="Y27" s="24"/>
      <c r="Z27" s="24"/>
      <c r="AA27" s="24"/>
    </row>
    <row r="28" ht="106.5" customHeight="1">
      <c r="A28" s="88" t="s">
        <v>263</v>
      </c>
      <c r="B28" s="90" t="s">
        <v>264</v>
      </c>
      <c r="C28" s="91" t="s">
        <v>265</v>
      </c>
      <c r="D28" s="93" t="s">
        <v>266</v>
      </c>
      <c r="E28" s="59"/>
      <c r="F28" s="59"/>
      <c r="G28" s="102" t="s">
        <v>268</v>
      </c>
      <c r="H28" s="103">
        <v>46218.0</v>
      </c>
      <c r="I28" s="88" t="s">
        <v>24</v>
      </c>
      <c r="J28" s="91" t="s">
        <v>269</v>
      </c>
      <c r="K28" s="103">
        <v>46219.0</v>
      </c>
      <c r="L28" s="88" t="s">
        <v>23</v>
      </c>
      <c r="M28" s="125" t="s">
        <v>270</v>
      </c>
      <c r="N28" s="24"/>
      <c r="O28" s="24"/>
      <c r="P28" s="24"/>
      <c r="Q28" s="24"/>
      <c r="R28" s="24"/>
      <c r="S28" s="24"/>
      <c r="T28" s="24"/>
      <c r="U28" s="24"/>
      <c r="V28" s="24"/>
      <c r="W28" s="24"/>
      <c r="X28" s="24"/>
      <c r="Y28" s="24"/>
      <c r="Z28" s="24"/>
      <c r="AA28" s="24"/>
    </row>
    <row r="29" ht="108.75" customHeight="1">
      <c r="A29" s="88" t="s">
        <v>272</v>
      </c>
      <c r="B29" s="90" t="s">
        <v>273</v>
      </c>
      <c r="C29" s="91" t="s">
        <v>274</v>
      </c>
      <c r="D29" s="93" t="s">
        <v>275</v>
      </c>
      <c r="E29" s="59"/>
      <c r="F29" s="59"/>
      <c r="G29" s="102" t="s">
        <v>276</v>
      </c>
      <c r="H29" s="103">
        <v>46218.0</v>
      </c>
      <c r="I29" s="88" t="s">
        <v>24</v>
      </c>
      <c r="J29" s="91" t="s">
        <v>277</v>
      </c>
      <c r="K29" s="103">
        <v>46219.0</v>
      </c>
      <c r="L29" s="88" t="s">
        <v>23</v>
      </c>
      <c r="M29" s="125" t="s">
        <v>278</v>
      </c>
      <c r="N29" s="24"/>
      <c r="O29" s="24"/>
      <c r="P29" s="24"/>
      <c r="Q29" s="24"/>
      <c r="R29" s="24"/>
      <c r="S29" s="24"/>
      <c r="T29" s="24"/>
      <c r="U29" s="24"/>
      <c r="V29" s="24"/>
      <c r="W29" s="24"/>
      <c r="X29" s="24"/>
      <c r="Y29" s="24"/>
      <c r="Z29" s="24"/>
      <c r="AA29" s="24"/>
    </row>
    <row r="30" ht="108.75" customHeight="1">
      <c r="A30" s="88" t="s">
        <v>279</v>
      </c>
      <c r="B30" s="90" t="s">
        <v>280</v>
      </c>
      <c r="C30" s="91" t="s">
        <v>281</v>
      </c>
      <c r="D30" s="93" t="s">
        <v>282</v>
      </c>
      <c r="E30" s="59"/>
      <c r="F30" s="59"/>
      <c r="G30" s="102" t="s">
        <v>283</v>
      </c>
      <c r="H30" s="103">
        <v>46218.0</v>
      </c>
      <c r="I30" s="88" t="s">
        <v>24</v>
      </c>
      <c r="J30" s="91" t="s">
        <v>284</v>
      </c>
      <c r="K30" s="103">
        <v>46219.0</v>
      </c>
      <c r="L30" s="88" t="s">
        <v>23</v>
      </c>
      <c r="M30" s="125" t="s">
        <v>285</v>
      </c>
      <c r="N30" s="24"/>
      <c r="O30" s="24"/>
      <c r="P30" s="24"/>
      <c r="Q30" s="24"/>
      <c r="R30" s="24"/>
      <c r="S30" s="24"/>
      <c r="T30" s="24"/>
      <c r="U30" s="24"/>
      <c r="V30" s="24"/>
      <c r="W30" s="24"/>
      <c r="X30" s="24"/>
      <c r="Y30" s="24"/>
      <c r="Z30" s="24"/>
      <c r="AA30" s="24"/>
    </row>
    <row r="31" ht="108.75" customHeight="1">
      <c r="A31" s="88" t="s">
        <v>286</v>
      </c>
      <c r="B31" s="90" t="s">
        <v>287</v>
      </c>
      <c r="C31" s="91" t="s">
        <v>288</v>
      </c>
      <c r="D31" s="93" t="s">
        <v>289</v>
      </c>
      <c r="E31" s="59"/>
      <c r="F31" s="59"/>
      <c r="G31" s="102" t="s">
        <v>290</v>
      </c>
      <c r="H31" s="103">
        <v>46218.0</v>
      </c>
      <c r="I31" s="88" t="s">
        <v>24</v>
      </c>
      <c r="J31" s="91" t="s">
        <v>291</v>
      </c>
      <c r="K31" s="103">
        <v>46219.0</v>
      </c>
      <c r="L31" s="88" t="s">
        <v>23</v>
      </c>
      <c r="M31" s="125" t="s">
        <v>292</v>
      </c>
      <c r="N31" s="24"/>
      <c r="O31" s="24"/>
      <c r="P31" s="24"/>
      <c r="Q31" s="24"/>
      <c r="R31" s="24"/>
      <c r="S31" s="24"/>
      <c r="T31" s="24"/>
      <c r="U31" s="24"/>
      <c r="V31" s="24"/>
      <c r="W31" s="24"/>
      <c r="X31" s="24"/>
      <c r="Y31" s="24"/>
      <c r="Z31" s="24"/>
      <c r="AA31" s="24"/>
    </row>
    <row r="32">
      <c r="A32" s="87" t="s">
        <v>293</v>
      </c>
      <c r="B32" s="59"/>
      <c r="C32" s="59"/>
      <c r="D32" s="59"/>
      <c r="E32" s="59"/>
      <c r="F32" s="59"/>
      <c r="G32" s="59"/>
      <c r="H32" s="59"/>
      <c r="I32" s="59"/>
      <c r="J32" s="59"/>
      <c r="K32" s="59"/>
      <c r="L32" s="59"/>
      <c r="M32" s="60"/>
      <c r="N32" s="24"/>
      <c r="O32" s="24"/>
      <c r="P32" s="24"/>
      <c r="Q32" s="24"/>
      <c r="R32" s="24"/>
      <c r="S32" s="24"/>
      <c r="T32" s="24"/>
      <c r="U32" s="24"/>
      <c r="V32" s="24"/>
      <c r="W32" s="24"/>
      <c r="X32" s="24"/>
      <c r="Y32" s="24"/>
      <c r="Z32" s="24"/>
      <c r="AA32" s="24"/>
    </row>
    <row r="33">
      <c r="A33" s="88" t="s">
        <v>294</v>
      </c>
      <c r="B33" s="90" t="s">
        <v>295</v>
      </c>
      <c r="C33" s="91" t="s">
        <v>296</v>
      </c>
      <c r="D33" s="93" t="s">
        <v>297</v>
      </c>
      <c r="E33" s="59"/>
      <c r="F33" s="59"/>
      <c r="G33" s="102" t="s">
        <v>298</v>
      </c>
      <c r="H33" s="103">
        <v>46218.0</v>
      </c>
      <c r="I33" s="88" t="s">
        <v>24</v>
      </c>
      <c r="J33" s="91" t="s">
        <v>301</v>
      </c>
      <c r="K33" s="103">
        <v>46219.0</v>
      </c>
      <c r="L33" s="88" t="s">
        <v>23</v>
      </c>
      <c r="M33" s="125" t="s">
        <v>302</v>
      </c>
      <c r="N33" s="24"/>
      <c r="O33" s="24"/>
      <c r="P33" s="24"/>
      <c r="Q33" s="24"/>
      <c r="R33" s="24"/>
      <c r="S33" s="24"/>
      <c r="T33" s="24"/>
      <c r="U33" s="24"/>
      <c r="V33" s="24"/>
      <c r="W33" s="24"/>
      <c r="X33" s="24"/>
      <c r="Y33" s="24"/>
      <c r="Z33" s="24"/>
      <c r="AA33" s="24"/>
    </row>
    <row r="34" ht="75.75" customHeight="1">
      <c r="A34" s="88" t="s">
        <v>303</v>
      </c>
      <c r="B34" s="90" t="s">
        <v>304</v>
      </c>
      <c r="C34" s="91" t="s">
        <v>305</v>
      </c>
      <c r="D34" s="93" t="s">
        <v>306</v>
      </c>
      <c r="E34" s="59"/>
      <c r="F34" s="59"/>
      <c r="G34" s="102" t="s">
        <v>307</v>
      </c>
      <c r="H34" s="103">
        <v>46218.0</v>
      </c>
      <c r="I34" s="88" t="s">
        <v>24</v>
      </c>
      <c r="J34" s="91" t="s">
        <v>308</v>
      </c>
      <c r="K34" s="103">
        <v>46219.0</v>
      </c>
      <c r="L34" s="88" t="s">
        <v>23</v>
      </c>
      <c r="M34" s="125" t="s">
        <v>309</v>
      </c>
    </row>
    <row r="35">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row>
    <row r="36">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row>
    <row r="37">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row>
    <row r="38">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row>
    <row r="39">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row>
    <row r="40">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row>
    <row r="4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row>
    <row r="42">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row>
    <row r="43">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row>
    <row r="44">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row>
    <row r="4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row>
    <row r="46">
      <c r="A46" s="24"/>
      <c r="B46" s="24"/>
      <c r="C46" s="24"/>
      <c r="D46" s="24"/>
      <c r="E46" s="24"/>
      <c r="F46" s="105"/>
      <c r="G46" s="24"/>
      <c r="H46" s="24"/>
      <c r="I46" s="24"/>
      <c r="J46" s="24"/>
      <c r="K46" s="24"/>
      <c r="L46" s="24"/>
      <c r="M46" s="24"/>
      <c r="N46" s="24"/>
      <c r="O46" s="24"/>
      <c r="P46" s="24"/>
      <c r="Q46" s="24"/>
      <c r="R46" s="24"/>
      <c r="S46" s="24"/>
      <c r="T46" s="24"/>
      <c r="U46" s="24"/>
      <c r="V46" s="24"/>
      <c r="W46" s="24"/>
      <c r="X46" s="24"/>
      <c r="Y46" s="24"/>
      <c r="Z46" s="24"/>
      <c r="AA46" s="24"/>
    </row>
    <row r="47">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row>
    <row r="48">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row>
    <row r="49">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row>
    <row r="50">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row>
    <row r="5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row>
    <row r="52">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row>
    <row r="53">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row>
    <row r="54">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row>
    <row r="5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row>
    <row r="56">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row>
    <row r="57">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row>
    <row r="58">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row>
    <row r="59">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row>
    <row r="60">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row>
    <row r="6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row>
    <row r="62">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row>
    <row r="63">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row>
    <row r="64">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row>
    <row r="6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row>
    <row r="66">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row>
    <row r="67">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row>
    <row r="68">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row>
    <row r="69">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row>
    <row r="70">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row>
    <row r="7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row>
    <row r="72">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row>
    <row r="73">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row>
    <row r="74">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row>
    <row r="7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row>
    <row r="76">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row>
    <row r="77">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row>
    <row r="78">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row>
    <row r="79">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row>
    <row r="80">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row>
    <row r="8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row>
    <row r="82">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row>
    <row r="83">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row>
    <row r="84">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row>
    <row r="8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row>
    <row r="86">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row>
    <row r="87">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row>
    <row r="88">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row>
    <row r="89">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row>
    <row r="90">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row>
    <row r="9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row>
    <row r="9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row>
    <row r="93">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row>
    <row r="94">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row>
    <row r="9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row>
    <row r="96">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row>
    <row r="97">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row>
    <row r="98">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row>
    <row r="99">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c r="AA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c r="AA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c r="AA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c r="AA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c r="AA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c r="AA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c r="AA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c r="AA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c r="AA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c r="AA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c r="AA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c r="AA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c r="AA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c r="AA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c r="AA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c r="AA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c r="AA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c r="AA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c r="AA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c r="AA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c r="AA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c r="AA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c r="AA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c r="AA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c r="AA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c r="AA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c r="AA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c r="AA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c r="AA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c r="AA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c r="AA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c r="AA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c r="AA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c r="AA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c r="AA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c r="AA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c r="AA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c r="AA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c r="AA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c r="AA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c r="AA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c r="AA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c r="AA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c r="AA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c r="AA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c r="AA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c r="AA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c r="AA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c r="AA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c r="AA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c r="AA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c r="AA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c r="AA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c r="AA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c r="AA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c r="AA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c r="AA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c r="AA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c r="AA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c r="AA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c r="AA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c r="AA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c r="AA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c r="AA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c r="AA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c r="AA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c r="AA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c r="AA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c r="AA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c r="AA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c r="AA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c r="AA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c r="AA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c r="AA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c r="AA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c r="AA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c r="AA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c r="AA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c r="AA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c r="AA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c r="AA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c r="AA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c r="AA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c r="AA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c r="AA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c r="AA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c r="AA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c r="AA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c r="AA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c r="AA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c r="AA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c r="AA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c r="AA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c r="AA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c r="AA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c r="AA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c r="AA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c r="AA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c r="AA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c r="AA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c r="AA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c r="AA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c r="AA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c r="AA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c r="AA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c r="AA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c r="AA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c r="AA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c r="AA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c r="AA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c r="AA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c r="AA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c r="AA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c r="AA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c r="AA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c r="AA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c r="AA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c r="AA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c r="AA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c r="AA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c r="AA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c r="AA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c r="AA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c r="AA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c r="AA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c r="AA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c r="AA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c r="AA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c r="AA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c r="AA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c r="AA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c r="AA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c r="AA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c r="AA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c r="AA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c r="AA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c r="AA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c r="AA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c r="AA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c r="AA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c r="AA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c r="AA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c r="AA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c r="AA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c r="AA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c r="AA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c r="AA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c r="AA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c r="AA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c r="AA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c r="AA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c r="AA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c r="AA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c r="AA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c r="AA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c r="AA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c r="AA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c r="AA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c r="AA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c r="AA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c r="AA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c r="AA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c r="AA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c r="AA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c r="AA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c r="AA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c r="AA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c r="AA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c r="AA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c r="AA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c r="AA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c r="AA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c r="AA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c r="AA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c r="AA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c r="AA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c r="AA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c r="AA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c r="AA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c r="AA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c r="AA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c r="AA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c r="AA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c r="AA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c r="AA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c r="AA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c r="AA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c r="AA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c r="AA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c r="AA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c r="AA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c r="AA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c r="AA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c r="AA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c r="AA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c r="AA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c r="AA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c r="AA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c r="AA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c r="AA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c r="AA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c r="AA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c r="AA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c r="AA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c r="AA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c r="AA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c r="AA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c r="AA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c r="AA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c r="AA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c r="AA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c r="AA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c r="AA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c r="AA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c r="AA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c r="AA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c r="AA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c r="AA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c r="AA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c r="AA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c r="AA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c r="AA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c r="AA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c r="AA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c r="AA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c r="AA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c r="AA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c r="AA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c r="AA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c r="AA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c r="AA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c r="AA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c r="AA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c r="AA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c r="AA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c r="AA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c r="AA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c r="AA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c r="AA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c r="AA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c r="AA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c r="AA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c r="AA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c r="AA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c r="AA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c r="AA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c r="AA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c r="AA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c r="AA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c r="AA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c r="AA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c r="AA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c r="AA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c r="AA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c r="AA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c r="AA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c r="AA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c r="AA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c r="AA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c r="AA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c r="AA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c r="AA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c r="AA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c r="AA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c r="AA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c r="AA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c r="AA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c r="AA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c r="AA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c r="AA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c r="AA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c r="AA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c r="AA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c r="AA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c r="AA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c r="AA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c r="AA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c r="AA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c r="AA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c r="AA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c r="AA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c r="AA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c r="AA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c r="AA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c r="AA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c r="AA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c r="AA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c r="AA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c r="AA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c r="AA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c r="AA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c r="AA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c r="AA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c r="AA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c r="AA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c r="AA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c r="AA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c r="AA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c r="AA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c r="AA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c r="AA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c r="AA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c r="AA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c r="AA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c r="AA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c r="AA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c r="AA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c r="AA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c r="AA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c r="AA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c r="AA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c r="AA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c r="AA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c r="AA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c r="AA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c r="AA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c r="AA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c r="AA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c r="AA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c r="AA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c r="AA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c r="AA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c r="AA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c r="AA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c r="AA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c r="AA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c r="AA977" s="24"/>
    </row>
    <row r="97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c r="AA978" s="24"/>
    </row>
    <row r="979">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c r="AA979" s="24"/>
    </row>
    <row r="980">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c r="AA980" s="24"/>
    </row>
    <row r="98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c r="AA981" s="24"/>
    </row>
    <row r="982">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c r="AA982" s="24"/>
    </row>
    <row r="983">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c r="AA983" s="24"/>
    </row>
    <row r="984">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c r="AA984" s="24"/>
    </row>
    <row r="98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c r="AA985" s="24"/>
    </row>
    <row r="986">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c r="AA986" s="24"/>
    </row>
    <row r="987">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c r="AA987" s="24"/>
    </row>
    <row r="988">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c r="AA988" s="24"/>
    </row>
    <row r="989">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c r="AA989" s="24"/>
    </row>
    <row r="990">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c r="AA990" s="24"/>
    </row>
    <row r="99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c r="AA991" s="24"/>
    </row>
    <row r="992">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c r="AA992" s="24"/>
    </row>
    <row r="993">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c r="AA993" s="24"/>
    </row>
    <row r="994">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c r="AA994" s="24"/>
    </row>
    <row r="995">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c r="AA995" s="24"/>
    </row>
    <row r="996">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c r="AA996" s="24"/>
    </row>
    <row r="997">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c r="AA997" s="24"/>
    </row>
    <row r="998">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c r="AA998" s="24"/>
    </row>
    <row r="999">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c r="AA999" s="24"/>
    </row>
    <row r="1000">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c r="AA1000" s="24"/>
    </row>
    <row r="1001">
      <c r="A1001" s="24"/>
      <c r="B1001" s="24"/>
      <c r="C1001" s="24"/>
      <c r="D1001" s="24"/>
      <c r="E1001" s="24"/>
      <c r="F1001" s="24"/>
      <c r="G1001" s="24"/>
      <c r="H1001" s="24"/>
      <c r="I1001" s="24"/>
      <c r="J1001" s="24"/>
      <c r="K1001" s="24"/>
      <c r="L1001" s="24"/>
      <c r="M1001" s="24"/>
      <c r="N1001" s="24"/>
      <c r="O1001" s="24"/>
      <c r="P1001" s="24"/>
      <c r="Q1001" s="24"/>
      <c r="R1001" s="24"/>
      <c r="S1001" s="24"/>
      <c r="T1001" s="24"/>
      <c r="U1001" s="24"/>
      <c r="V1001" s="24"/>
      <c r="W1001" s="24"/>
      <c r="X1001" s="24"/>
      <c r="Y1001" s="24"/>
      <c r="Z1001" s="24"/>
      <c r="AA1001" s="24"/>
    </row>
    <row r="1002">
      <c r="A1002" s="24"/>
      <c r="B1002" s="24"/>
      <c r="C1002" s="24"/>
      <c r="D1002" s="24"/>
      <c r="E1002" s="24"/>
      <c r="F1002" s="24"/>
      <c r="G1002" s="24"/>
      <c r="H1002" s="24"/>
      <c r="I1002" s="24"/>
      <c r="J1002" s="24"/>
      <c r="K1002" s="24"/>
      <c r="L1002" s="24"/>
      <c r="M1002" s="24"/>
      <c r="N1002" s="24"/>
      <c r="O1002" s="24"/>
      <c r="P1002" s="24"/>
      <c r="Q1002" s="24"/>
      <c r="R1002" s="24"/>
      <c r="S1002" s="24"/>
      <c r="T1002" s="24"/>
      <c r="U1002" s="24"/>
      <c r="V1002" s="24"/>
      <c r="W1002" s="24"/>
      <c r="X1002" s="24"/>
      <c r="Y1002" s="24"/>
      <c r="Z1002" s="24"/>
      <c r="AA1002" s="24"/>
    </row>
    <row r="1003">
      <c r="A1003" s="24"/>
      <c r="B1003" s="24"/>
      <c r="C1003" s="24"/>
      <c r="D1003" s="24"/>
      <c r="E1003" s="24"/>
      <c r="F1003" s="24"/>
      <c r="G1003" s="24"/>
      <c r="H1003" s="24"/>
      <c r="I1003" s="24"/>
      <c r="J1003" s="24"/>
      <c r="K1003" s="24"/>
      <c r="L1003" s="24"/>
      <c r="M1003" s="24"/>
      <c r="N1003" s="24"/>
      <c r="O1003" s="24"/>
      <c r="P1003" s="24"/>
      <c r="Q1003" s="24"/>
      <c r="R1003" s="24"/>
      <c r="S1003" s="24"/>
      <c r="T1003" s="24"/>
      <c r="U1003" s="24"/>
      <c r="V1003" s="24"/>
      <c r="W1003" s="24"/>
      <c r="X1003" s="24"/>
      <c r="Y1003" s="24"/>
      <c r="Z1003" s="24"/>
      <c r="AA1003" s="24"/>
    </row>
    <row r="1004">
      <c r="A1004" s="24"/>
      <c r="B1004" s="24"/>
      <c r="C1004" s="24"/>
      <c r="D1004" s="24"/>
      <c r="E1004" s="24"/>
      <c r="F1004" s="24"/>
      <c r="G1004" s="24"/>
      <c r="H1004" s="24"/>
      <c r="I1004" s="24"/>
      <c r="J1004" s="24"/>
      <c r="K1004" s="24"/>
      <c r="L1004" s="24"/>
      <c r="M1004" s="24"/>
      <c r="N1004" s="24"/>
      <c r="O1004" s="24"/>
      <c r="P1004" s="24"/>
      <c r="Q1004" s="24"/>
      <c r="R1004" s="24"/>
      <c r="S1004" s="24"/>
      <c r="T1004" s="24"/>
      <c r="U1004" s="24"/>
      <c r="V1004" s="24"/>
      <c r="W1004" s="24"/>
      <c r="X1004" s="24"/>
      <c r="Y1004" s="24"/>
      <c r="Z1004" s="24"/>
      <c r="AA1004" s="24"/>
    </row>
    <row r="1005">
      <c r="A1005" s="24"/>
      <c r="B1005" s="24"/>
      <c r="C1005" s="24"/>
      <c r="D1005" s="24"/>
      <c r="E1005" s="24"/>
      <c r="F1005" s="24"/>
      <c r="G1005" s="24"/>
      <c r="H1005" s="24"/>
      <c r="I1005" s="24"/>
      <c r="J1005" s="24"/>
      <c r="K1005" s="24"/>
      <c r="L1005" s="24"/>
      <c r="M1005" s="24"/>
      <c r="N1005" s="24"/>
      <c r="O1005" s="24"/>
      <c r="P1005" s="24"/>
      <c r="Q1005" s="24"/>
      <c r="R1005" s="24"/>
      <c r="S1005" s="24"/>
      <c r="T1005" s="24"/>
      <c r="U1005" s="24"/>
      <c r="V1005" s="24"/>
      <c r="W1005" s="24"/>
      <c r="X1005" s="24"/>
      <c r="Y1005" s="24"/>
      <c r="Z1005" s="24"/>
      <c r="AA1005" s="24"/>
    </row>
    <row r="1006">
      <c r="A1006" s="24"/>
      <c r="B1006" s="24"/>
      <c r="C1006" s="24"/>
      <c r="D1006" s="24"/>
      <c r="E1006" s="24"/>
      <c r="F1006" s="24"/>
      <c r="G1006" s="24"/>
      <c r="H1006" s="24"/>
      <c r="I1006" s="24"/>
      <c r="J1006" s="24"/>
      <c r="K1006" s="24"/>
      <c r="L1006" s="24"/>
      <c r="M1006" s="24"/>
      <c r="N1006" s="24"/>
      <c r="O1006" s="24"/>
      <c r="P1006" s="24"/>
      <c r="Q1006" s="24"/>
      <c r="R1006" s="24"/>
      <c r="S1006" s="24"/>
      <c r="T1006" s="24"/>
      <c r="U1006" s="24"/>
      <c r="V1006" s="24"/>
      <c r="W1006" s="24"/>
      <c r="X1006" s="24"/>
      <c r="Y1006" s="24"/>
      <c r="Z1006" s="24"/>
      <c r="AA1006" s="24"/>
    </row>
    <row r="1007">
      <c r="A1007" s="24"/>
      <c r="B1007" s="24"/>
      <c r="C1007" s="24"/>
      <c r="D1007" s="24"/>
      <c r="E1007" s="24"/>
      <c r="F1007" s="24"/>
      <c r="G1007" s="24"/>
      <c r="H1007" s="24"/>
      <c r="I1007" s="24"/>
      <c r="J1007" s="24"/>
      <c r="K1007" s="24"/>
      <c r="L1007" s="24"/>
      <c r="M1007" s="24"/>
      <c r="N1007" s="24"/>
      <c r="O1007" s="24"/>
      <c r="P1007" s="24"/>
      <c r="Q1007" s="24"/>
      <c r="R1007" s="24"/>
      <c r="S1007" s="24"/>
      <c r="T1007" s="24"/>
      <c r="U1007" s="24"/>
      <c r="V1007" s="24"/>
      <c r="W1007" s="24"/>
      <c r="X1007" s="24"/>
      <c r="Y1007" s="24"/>
      <c r="Z1007" s="24"/>
      <c r="AA1007" s="24"/>
    </row>
    <row r="1008">
      <c r="A1008" s="24"/>
      <c r="B1008" s="24"/>
      <c r="C1008" s="24"/>
      <c r="D1008" s="24"/>
      <c r="E1008" s="24"/>
      <c r="F1008" s="24"/>
      <c r="G1008" s="24"/>
      <c r="H1008" s="24"/>
      <c r="I1008" s="24"/>
      <c r="J1008" s="24"/>
      <c r="K1008" s="24"/>
      <c r="L1008" s="24"/>
      <c r="M1008" s="24"/>
      <c r="N1008" s="24"/>
      <c r="O1008" s="24"/>
      <c r="P1008" s="24"/>
      <c r="Q1008" s="24"/>
      <c r="R1008" s="24"/>
      <c r="S1008" s="24"/>
      <c r="T1008" s="24"/>
      <c r="U1008" s="24"/>
      <c r="V1008" s="24"/>
      <c r="W1008" s="24"/>
      <c r="X1008" s="24"/>
      <c r="Y1008" s="24"/>
      <c r="Z1008" s="24"/>
      <c r="AA1008" s="24"/>
    </row>
    <row r="1009">
      <c r="A1009" s="24"/>
      <c r="B1009" s="24"/>
      <c r="C1009" s="24"/>
      <c r="D1009" s="24"/>
      <c r="E1009" s="24"/>
      <c r="F1009" s="24"/>
      <c r="G1009" s="24"/>
      <c r="H1009" s="24"/>
      <c r="I1009" s="24"/>
      <c r="J1009" s="24"/>
      <c r="K1009" s="24"/>
      <c r="L1009" s="24"/>
      <c r="M1009" s="24"/>
      <c r="N1009" s="24"/>
      <c r="O1009" s="24"/>
      <c r="P1009" s="24"/>
      <c r="Q1009" s="24"/>
      <c r="R1009" s="24"/>
      <c r="S1009" s="24"/>
      <c r="T1009" s="24"/>
      <c r="U1009" s="24"/>
      <c r="V1009" s="24"/>
      <c r="W1009" s="24"/>
      <c r="X1009" s="24"/>
      <c r="Y1009" s="24"/>
      <c r="Z1009" s="24"/>
      <c r="AA1009" s="24"/>
    </row>
    <row r="1010">
      <c r="A1010" s="24"/>
      <c r="B1010" s="24"/>
      <c r="C1010" s="24"/>
      <c r="D1010" s="24"/>
      <c r="E1010" s="24"/>
      <c r="F1010" s="24"/>
      <c r="G1010" s="24"/>
      <c r="H1010" s="24"/>
      <c r="I1010" s="24"/>
      <c r="J1010" s="24"/>
      <c r="K1010" s="24"/>
      <c r="L1010" s="24"/>
      <c r="M1010" s="24"/>
      <c r="N1010" s="24"/>
      <c r="O1010" s="24"/>
      <c r="P1010" s="24"/>
      <c r="Q1010" s="24"/>
      <c r="R1010" s="24"/>
      <c r="S1010" s="24"/>
      <c r="T1010" s="24"/>
      <c r="U1010" s="24"/>
      <c r="V1010" s="24"/>
      <c r="W1010" s="24"/>
      <c r="X1010" s="24"/>
      <c r="Y1010" s="24"/>
      <c r="Z1010" s="24"/>
      <c r="AA1010" s="24"/>
    </row>
    <row r="1011">
      <c r="A1011" s="129"/>
      <c r="B1011" s="129"/>
      <c r="C1011" s="129"/>
      <c r="D1011" s="129"/>
      <c r="E1011" s="129"/>
      <c r="F1011" s="129"/>
      <c r="G1011" s="129"/>
      <c r="H1011" s="129"/>
      <c r="I1011" s="129"/>
      <c r="J1011" s="129"/>
      <c r="K1011" s="129"/>
      <c r="L1011" s="129"/>
      <c r="M1011" s="129"/>
      <c r="N1011" s="129"/>
      <c r="O1011" s="129"/>
      <c r="P1011" s="129"/>
      <c r="Q1011" s="129"/>
      <c r="R1011" s="129"/>
      <c r="S1011" s="129"/>
      <c r="T1011" s="129"/>
      <c r="U1011" s="129"/>
      <c r="V1011" s="129"/>
      <c r="W1011" s="129"/>
      <c r="X1011" s="129"/>
      <c r="Y1011" s="129"/>
      <c r="Z1011" s="129"/>
      <c r="AA1011" s="129"/>
    </row>
  </sheetData>
  <mergeCells count="39">
    <mergeCell ref="B1:D2"/>
    <mergeCell ref="B3:D3"/>
    <mergeCell ref="B4:D4"/>
    <mergeCell ref="B5:D5"/>
    <mergeCell ref="A9:A10"/>
    <mergeCell ref="B9:B10"/>
    <mergeCell ref="C9:C10"/>
    <mergeCell ref="D9:F10"/>
    <mergeCell ref="G9:G10"/>
    <mergeCell ref="H9:H10"/>
    <mergeCell ref="I9:I10"/>
    <mergeCell ref="J9:J10"/>
    <mergeCell ref="K9:K10"/>
    <mergeCell ref="L9:L10"/>
    <mergeCell ref="M9:M10"/>
    <mergeCell ref="F11:M11"/>
    <mergeCell ref="A12:M12"/>
    <mergeCell ref="D13:F13"/>
    <mergeCell ref="A14:M14"/>
    <mergeCell ref="D15:F15"/>
    <mergeCell ref="D16:F16"/>
    <mergeCell ref="D17:F17"/>
    <mergeCell ref="D18:F18"/>
    <mergeCell ref="D19:F19"/>
    <mergeCell ref="D20:F20"/>
    <mergeCell ref="D21:F21"/>
    <mergeCell ref="D22:F22"/>
    <mergeCell ref="A23:M23"/>
    <mergeCell ref="D31:F31"/>
    <mergeCell ref="A32:M32"/>
    <mergeCell ref="D33:F33"/>
    <mergeCell ref="D34:F34"/>
    <mergeCell ref="D24:F24"/>
    <mergeCell ref="D25:F25"/>
    <mergeCell ref="D26:F26"/>
    <mergeCell ref="D27:F27"/>
    <mergeCell ref="D28:F28"/>
    <mergeCell ref="D29:F29"/>
    <mergeCell ref="D30:F30"/>
  </mergeCells>
  <hyperlinks>
    <hyperlink r:id="rId1" ref="G13"/>
    <hyperlink r:id="rId2" ref="G15"/>
    <hyperlink r:id="rId3" ref="G16"/>
    <hyperlink r:id="rId4" ref="G17"/>
    <hyperlink r:id="rId5" ref="G18"/>
    <hyperlink r:id="rId6" ref="G19"/>
    <hyperlink r:id="rId7" ref="G20"/>
    <hyperlink r:id="rId8" ref="G21"/>
    <hyperlink r:id="rId9" ref="G22"/>
    <hyperlink r:id="rId10" ref="G24"/>
    <hyperlink r:id="rId11" ref="G25"/>
    <hyperlink r:id="rId12" ref="M25"/>
    <hyperlink r:id="rId13" ref="G26"/>
    <hyperlink r:id="rId14" ref="G27"/>
    <hyperlink r:id="rId15" ref="M27"/>
    <hyperlink r:id="rId16" ref="G28"/>
    <hyperlink r:id="rId17" ref="M28"/>
    <hyperlink r:id="rId18" ref="G29"/>
    <hyperlink r:id="rId19" ref="M29"/>
    <hyperlink r:id="rId20" ref="G30"/>
    <hyperlink r:id="rId21" ref="M30"/>
    <hyperlink r:id="rId22" ref="G31"/>
    <hyperlink r:id="rId23" ref="M31"/>
    <hyperlink r:id="rId24" ref="G33"/>
    <hyperlink r:id="rId25" ref="M33"/>
    <hyperlink r:id="rId26" ref="G34"/>
    <hyperlink r:id="rId27" ref="M34"/>
  </hyperlinks>
  <drawing r:id="rId2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5"/>
    <col customWidth="1" min="2" max="2" width="29.38"/>
    <col customWidth="1" min="3" max="3" width="38.0"/>
    <col customWidth="1" min="6" max="6" width="19.0"/>
    <col customWidth="1" min="7" max="7" width="18.5"/>
    <col customWidth="1" min="8" max="8" width="20.13"/>
    <col customWidth="1" min="9" max="9" width="15.5"/>
    <col customWidth="1" min="10" max="10" width="21.38"/>
    <col customWidth="1" min="11" max="12" width="19.88"/>
    <col customWidth="1" min="13" max="13" width="21.13"/>
  </cols>
  <sheetData>
    <row r="1">
      <c r="A1" s="11" t="s">
        <v>3</v>
      </c>
      <c r="B1" s="18"/>
      <c r="E1" s="18"/>
      <c r="F1" s="18"/>
      <c r="G1" s="18"/>
      <c r="H1" s="18"/>
      <c r="I1" s="18"/>
      <c r="J1" s="18"/>
      <c r="K1" s="24"/>
      <c r="L1" s="24"/>
      <c r="M1" s="24"/>
      <c r="N1" s="24"/>
      <c r="O1" s="24"/>
      <c r="P1" s="24"/>
      <c r="Q1" s="24"/>
      <c r="R1" s="24"/>
      <c r="S1" s="24"/>
      <c r="T1" s="24"/>
      <c r="U1" s="24"/>
      <c r="V1" s="24"/>
      <c r="W1" s="24"/>
      <c r="X1" s="24"/>
      <c r="Y1" s="24"/>
      <c r="Z1" s="24"/>
      <c r="AA1" s="24"/>
    </row>
    <row r="2">
      <c r="A2" s="18"/>
      <c r="B2" s="44"/>
      <c r="C2" s="44"/>
      <c r="D2" s="44"/>
      <c r="E2" s="18"/>
      <c r="F2" s="18"/>
      <c r="G2" s="18"/>
      <c r="H2" s="18"/>
      <c r="I2" s="18"/>
      <c r="J2" s="18"/>
      <c r="K2" s="24"/>
      <c r="L2" s="24"/>
      <c r="M2" s="24"/>
      <c r="N2" s="24"/>
      <c r="O2" s="24"/>
      <c r="P2" s="24"/>
      <c r="Q2" s="24"/>
      <c r="R2" s="24"/>
      <c r="S2" s="24"/>
      <c r="T2" s="24"/>
      <c r="U2" s="24"/>
      <c r="V2" s="24"/>
      <c r="W2" s="24"/>
      <c r="X2" s="24"/>
      <c r="Y2" s="24"/>
      <c r="Z2" s="24"/>
      <c r="AA2" s="24"/>
    </row>
    <row r="3">
      <c r="A3" s="56" t="s">
        <v>60</v>
      </c>
      <c r="B3" s="58" t="s">
        <v>63</v>
      </c>
      <c r="C3" s="59"/>
      <c r="D3" s="60"/>
      <c r="E3" s="18"/>
      <c r="F3" s="18"/>
      <c r="G3" s="18"/>
      <c r="H3" s="18"/>
      <c r="I3" s="24"/>
      <c r="J3" s="24"/>
      <c r="K3" s="24"/>
      <c r="L3" s="24"/>
      <c r="M3" s="24"/>
      <c r="N3" s="24"/>
      <c r="O3" s="24"/>
      <c r="P3" s="24"/>
      <c r="Q3" s="24"/>
      <c r="R3" s="24"/>
      <c r="S3" s="24"/>
      <c r="T3" s="24"/>
      <c r="U3" s="24"/>
      <c r="V3" s="24"/>
      <c r="W3" s="24"/>
      <c r="X3" s="24"/>
      <c r="Y3" s="24"/>
      <c r="Z3" s="24"/>
      <c r="AA3" s="24"/>
    </row>
    <row r="4">
      <c r="A4" s="56" t="s">
        <v>69</v>
      </c>
      <c r="B4" s="61" t="s">
        <v>299</v>
      </c>
      <c r="C4" s="59"/>
      <c r="D4" s="60"/>
      <c r="E4" s="18"/>
      <c r="F4" s="18"/>
      <c r="G4" s="18"/>
      <c r="H4" s="18"/>
      <c r="I4" s="24"/>
      <c r="J4" s="24"/>
      <c r="K4" s="24"/>
      <c r="L4" s="24"/>
      <c r="M4" s="24"/>
      <c r="N4" s="24"/>
      <c r="O4" s="24"/>
      <c r="P4" s="24"/>
      <c r="Q4" s="24"/>
      <c r="R4" s="24"/>
      <c r="S4" s="24"/>
      <c r="T4" s="24"/>
      <c r="U4" s="24"/>
      <c r="V4" s="24"/>
      <c r="W4" s="24"/>
      <c r="X4" s="24"/>
      <c r="Y4" s="24"/>
      <c r="Z4" s="24"/>
      <c r="AA4" s="24"/>
    </row>
    <row r="5">
      <c r="A5" s="56" t="s">
        <v>83</v>
      </c>
      <c r="B5" s="58" t="s">
        <v>300</v>
      </c>
      <c r="C5" s="59"/>
      <c r="D5" s="60"/>
      <c r="E5" s="18"/>
      <c r="F5" s="18"/>
      <c r="G5" s="18"/>
      <c r="H5" s="18"/>
      <c r="I5" s="24"/>
      <c r="J5" s="24"/>
      <c r="K5" s="24"/>
      <c r="L5" s="24"/>
      <c r="M5" s="24"/>
      <c r="N5" s="24"/>
      <c r="O5" s="24"/>
      <c r="P5" s="24"/>
      <c r="Q5" s="24"/>
      <c r="R5" s="24"/>
      <c r="S5" s="24"/>
      <c r="T5" s="24"/>
      <c r="U5" s="24"/>
      <c r="V5" s="24"/>
      <c r="W5" s="24"/>
      <c r="X5" s="24"/>
      <c r="Y5" s="24"/>
      <c r="Z5" s="24"/>
      <c r="AA5" s="24"/>
    </row>
    <row r="6">
      <c r="A6" s="69" t="s">
        <v>23</v>
      </c>
      <c r="B6" s="70">
        <v>7.0</v>
      </c>
      <c r="C6" s="72" t="s">
        <v>25</v>
      </c>
      <c r="D6" s="73">
        <v>0.0</v>
      </c>
      <c r="E6" s="18"/>
      <c r="F6" s="18"/>
      <c r="G6" s="18"/>
      <c r="H6" s="18"/>
      <c r="I6" s="24"/>
      <c r="J6" s="24"/>
      <c r="K6" s="24"/>
      <c r="L6" s="24"/>
      <c r="M6" s="24"/>
      <c r="N6" s="24"/>
      <c r="O6" s="24"/>
      <c r="P6" s="24"/>
      <c r="Q6" s="24"/>
      <c r="R6" s="24"/>
      <c r="S6" s="24"/>
      <c r="T6" s="24"/>
      <c r="U6" s="24"/>
      <c r="V6" s="24"/>
      <c r="W6" s="24"/>
      <c r="X6" s="24"/>
      <c r="Y6" s="24"/>
      <c r="Z6" s="24"/>
      <c r="AA6" s="24"/>
    </row>
    <row r="7">
      <c r="A7" s="69" t="s">
        <v>24</v>
      </c>
      <c r="B7" s="70">
        <v>2.0</v>
      </c>
      <c r="C7" s="75" t="s">
        <v>99</v>
      </c>
      <c r="D7" s="73">
        <v>9.0</v>
      </c>
      <c r="E7" s="18"/>
      <c r="F7" s="18"/>
      <c r="G7" s="18"/>
      <c r="H7" s="18"/>
      <c r="I7" s="24"/>
      <c r="J7" s="24"/>
      <c r="K7" s="24"/>
      <c r="L7" s="24"/>
      <c r="M7" s="24"/>
      <c r="N7" s="24"/>
      <c r="O7" s="24"/>
      <c r="P7" s="24"/>
      <c r="Q7" s="24"/>
      <c r="R7" s="24"/>
      <c r="S7" s="24"/>
      <c r="T7" s="24"/>
      <c r="U7" s="24"/>
      <c r="V7" s="24"/>
      <c r="W7" s="24"/>
      <c r="X7" s="24"/>
      <c r="Y7" s="24"/>
      <c r="Z7" s="24"/>
      <c r="AA7" s="24"/>
    </row>
    <row r="8">
      <c r="A8" s="76"/>
      <c r="B8" s="77"/>
      <c r="C8" s="77"/>
      <c r="D8" s="77"/>
      <c r="E8" s="18"/>
      <c r="F8" s="18"/>
      <c r="G8" s="18"/>
      <c r="H8" s="18"/>
      <c r="I8" s="78"/>
      <c r="J8" s="78"/>
      <c r="K8" s="24"/>
      <c r="L8" s="24"/>
      <c r="M8" s="24"/>
      <c r="N8" s="24"/>
      <c r="O8" s="24"/>
      <c r="P8" s="24"/>
      <c r="Q8" s="24"/>
      <c r="R8" s="24"/>
      <c r="S8" s="24"/>
      <c r="T8" s="24"/>
      <c r="U8" s="24"/>
      <c r="V8" s="24"/>
      <c r="W8" s="24"/>
      <c r="X8" s="24"/>
      <c r="Y8" s="24"/>
      <c r="Z8" s="24"/>
      <c r="AA8" s="24"/>
    </row>
    <row r="9">
      <c r="A9" s="79" t="s">
        <v>101</v>
      </c>
      <c r="B9" s="80" t="s">
        <v>102</v>
      </c>
      <c r="C9" s="79" t="s">
        <v>103</v>
      </c>
      <c r="D9" s="81" t="s">
        <v>104</v>
      </c>
      <c r="G9" s="79" t="s">
        <v>106</v>
      </c>
      <c r="H9" s="82" t="s">
        <v>107</v>
      </c>
      <c r="I9" s="82" t="s">
        <v>109</v>
      </c>
      <c r="J9" s="82" t="s">
        <v>110</v>
      </c>
      <c r="K9" s="83" t="s">
        <v>111</v>
      </c>
      <c r="L9" s="82" t="s">
        <v>112</v>
      </c>
      <c r="M9" s="82" t="s">
        <v>113</v>
      </c>
      <c r="N9" s="24"/>
      <c r="O9" s="24"/>
      <c r="P9" s="24"/>
      <c r="Q9" s="24"/>
      <c r="R9" s="24"/>
      <c r="S9" s="24"/>
      <c r="T9" s="24"/>
      <c r="U9" s="24"/>
      <c r="V9" s="24"/>
      <c r="W9" s="24"/>
      <c r="X9" s="24"/>
      <c r="Y9" s="24"/>
      <c r="Z9" s="24"/>
      <c r="AA9" s="24"/>
    </row>
    <row r="10">
      <c r="A10" s="84"/>
      <c r="B10" s="84"/>
      <c r="C10" s="84"/>
      <c r="D10" s="85"/>
      <c r="E10" s="44"/>
      <c r="F10" s="44"/>
      <c r="G10" s="84"/>
      <c r="H10" s="84"/>
      <c r="I10" s="84"/>
      <c r="J10" s="84"/>
      <c r="K10" s="84"/>
      <c r="L10" s="84"/>
      <c r="M10" s="84"/>
      <c r="N10" s="24"/>
      <c r="O10" s="24"/>
      <c r="P10" s="24"/>
      <c r="Q10" s="24"/>
      <c r="R10" s="24"/>
      <c r="S10" s="24"/>
      <c r="T10" s="24"/>
      <c r="U10" s="24"/>
      <c r="V10" s="24"/>
      <c r="W10" s="24"/>
      <c r="X10" s="24"/>
      <c r="Y10" s="24"/>
      <c r="Z10" s="24"/>
      <c r="AA10" s="24"/>
    </row>
    <row r="11">
      <c r="A11" s="86"/>
      <c r="B11" s="77"/>
      <c r="C11" s="77"/>
      <c r="D11" s="77"/>
      <c r="E11" s="77"/>
      <c r="F11" s="77"/>
      <c r="G11" s="59"/>
      <c r="H11" s="59"/>
      <c r="I11" s="59"/>
      <c r="J11" s="59"/>
      <c r="K11" s="59"/>
      <c r="L11" s="59"/>
      <c r="M11" s="59"/>
      <c r="N11" s="24"/>
      <c r="O11" s="24"/>
      <c r="P11" s="24"/>
      <c r="Q11" s="24"/>
      <c r="R11" s="24"/>
      <c r="S11" s="24"/>
      <c r="T11" s="24"/>
      <c r="U11" s="24"/>
      <c r="V11" s="24"/>
      <c r="W11" s="24"/>
      <c r="X11" s="24"/>
      <c r="Y11" s="24"/>
      <c r="Z11" s="24"/>
      <c r="AA11" s="24"/>
    </row>
    <row r="12">
      <c r="A12" s="87" t="s">
        <v>310</v>
      </c>
      <c r="B12" s="59"/>
      <c r="C12" s="59"/>
      <c r="D12" s="59"/>
      <c r="E12" s="59"/>
      <c r="F12" s="59"/>
      <c r="G12" s="59"/>
      <c r="H12" s="59"/>
      <c r="I12" s="59"/>
      <c r="J12" s="59"/>
      <c r="K12" s="59"/>
      <c r="L12" s="59"/>
      <c r="M12" s="60"/>
      <c r="N12" s="24"/>
      <c r="O12" s="24"/>
      <c r="P12" s="24"/>
      <c r="Q12" s="24"/>
      <c r="R12" s="24"/>
      <c r="S12" s="24"/>
      <c r="T12" s="24"/>
      <c r="U12" s="24"/>
      <c r="V12" s="24"/>
      <c r="W12" s="24"/>
      <c r="X12" s="24"/>
      <c r="Y12" s="24"/>
      <c r="Z12" s="24"/>
      <c r="AA12" s="24"/>
    </row>
    <row r="13" ht="138.75" customHeight="1">
      <c r="A13" s="88" t="s">
        <v>311</v>
      </c>
      <c r="B13" s="90" t="s">
        <v>312</v>
      </c>
      <c r="C13" s="91" t="s">
        <v>313</v>
      </c>
      <c r="D13" s="93" t="s">
        <v>314</v>
      </c>
      <c r="E13" s="59"/>
      <c r="F13" s="59"/>
      <c r="G13" s="102" t="s">
        <v>315</v>
      </c>
      <c r="H13" s="103">
        <v>46226.0</v>
      </c>
      <c r="I13" s="88" t="s">
        <v>23</v>
      </c>
      <c r="J13" s="91" t="s">
        <v>316</v>
      </c>
      <c r="K13" s="104"/>
      <c r="L13" s="24"/>
      <c r="M13" s="105"/>
      <c r="N13" s="24"/>
      <c r="O13" s="24"/>
      <c r="P13" s="24"/>
      <c r="Q13" s="24"/>
      <c r="R13" s="24"/>
      <c r="S13" s="24"/>
      <c r="T13" s="24"/>
      <c r="U13" s="24"/>
      <c r="V13" s="24"/>
      <c r="W13" s="24"/>
      <c r="X13" s="24"/>
      <c r="Y13" s="24"/>
      <c r="Z13" s="24"/>
      <c r="AA13" s="24"/>
    </row>
    <row r="14">
      <c r="A14" s="87" t="s">
        <v>317</v>
      </c>
      <c r="B14" s="59"/>
      <c r="C14" s="59"/>
      <c r="D14" s="59"/>
      <c r="E14" s="59"/>
      <c r="F14" s="59"/>
      <c r="G14" s="59"/>
      <c r="H14" s="59"/>
      <c r="I14" s="59"/>
      <c r="J14" s="59"/>
      <c r="K14" s="59"/>
      <c r="L14" s="59"/>
      <c r="M14" s="60"/>
      <c r="N14" s="24"/>
      <c r="O14" s="24"/>
      <c r="P14" s="24"/>
      <c r="Q14" s="24"/>
      <c r="R14" s="24"/>
      <c r="S14" s="24"/>
      <c r="T14" s="24"/>
      <c r="U14" s="24"/>
      <c r="V14" s="24"/>
      <c r="W14" s="24"/>
      <c r="X14" s="24"/>
      <c r="Y14" s="24"/>
      <c r="Z14" s="24"/>
      <c r="AA14" s="24"/>
    </row>
    <row r="15" ht="100.5" customHeight="1">
      <c r="A15" s="88" t="s">
        <v>318</v>
      </c>
      <c r="B15" s="90" t="s">
        <v>319</v>
      </c>
      <c r="C15" s="91" t="s">
        <v>320</v>
      </c>
      <c r="D15" s="93" t="s">
        <v>321</v>
      </c>
      <c r="E15" s="59"/>
      <c r="F15" s="59"/>
      <c r="G15" s="102" t="s">
        <v>322</v>
      </c>
      <c r="H15" s="103">
        <v>46226.0</v>
      </c>
      <c r="I15" s="88" t="s">
        <v>23</v>
      </c>
      <c r="J15" s="91" t="s">
        <v>323</v>
      </c>
      <c r="K15" s="104"/>
      <c r="L15" s="104"/>
      <c r="M15" s="105"/>
      <c r="N15" s="24"/>
      <c r="O15" s="24"/>
      <c r="P15" s="24"/>
      <c r="Q15" s="24"/>
      <c r="R15" s="24"/>
      <c r="S15" s="24"/>
      <c r="T15" s="24"/>
      <c r="U15" s="24"/>
      <c r="V15" s="24"/>
      <c r="W15" s="24"/>
      <c r="X15" s="24"/>
      <c r="Y15" s="24"/>
      <c r="Z15" s="24"/>
      <c r="AA15" s="24"/>
    </row>
    <row r="16" ht="114.0" customHeight="1">
      <c r="A16" s="88" t="s">
        <v>324</v>
      </c>
      <c r="B16" s="90" t="s">
        <v>325</v>
      </c>
      <c r="C16" s="91" t="s">
        <v>326</v>
      </c>
      <c r="D16" s="93" t="s">
        <v>327</v>
      </c>
      <c r="E16" s="59"/>
      <c r="F16" s="59"/>
      <c r="G16" s="102" t="s">
        <v>328</v>
      </c>
      <c r="H16" s="103">
        <v>46226.0</v>
      </c>
      <c r="I16" s="88" t="s">
        <v>23</v>
      </c>
      <c r="J16" s="91" t="s">
        <v>329</v>
      </c>
      <c r="K16" s="104"/>
      <c r="L16" s="104"/>
      <c r="M16" s="105"/>
      <c r="N16" s="24"/>
      <c r="O16" s="24"/>
      <c r="P16" s="24"/>
      <c r="Q16" s="24"/>
      <c r="R16" s="24"/>
      <c r="S16" s="24"/>
      <c r="T16" s="24"/>
      <c r="U16" s="24"/>
      <c r="V16" s="24"/>
      <c r="W16" s="24"/>
      <c r="X16" s="24"/>
      <c r="Y16" s="24"/>
      <c r="Z16" s="24"/>
      <c r="AA16" s="24"/>
    </row>
    <row r="17">
      <c r="A17" s="88" t="s">
        <v>330</v>
      </c>
      <c r="B17" s="90" t="s">
        <v>331</v>
      </c>
      <c r="C17" s="91" t="s">
        <v>332</v>
      </c>
      <c r="D17" s="93" t="s">
        <v>333</v>
      </c>
      <c r="E17" s="59"/>
      <c r="F17" s="59"/>
      <c r="G17" s="102" t="s">
        <v>334</v>
      </c>
      <c r="H17" s="103">
        <v>46226.0</v>
      </c>
      <c r="I17" s="88" t="s">
        <v>23</v>
      </c>
      <c r="J17" s="91" t="s">
        <v>335</v>
      </c>
      <c r="K17" s="104"/>
      <c r="L17" s="104"/>
      <c r="M17" s="105"/>
      <c r="N17" s="24"/>
      <c r="O17" s="24"/>
      <c r="P17" s="24"/>
      <c r="Q17" s="24"/>
      <c r="R17" s="24"/>
      <c r="S17" s="24"/>
      <c r="T17" s="24"/>
      <c r="U17" s="24"/>
      <c r="V17" s="24"/>
      <c r="W17" s="24"/>
      <c r="X17" s="24"/>
      <c r="Y17" s="24"/>
      <c r="Z17" s="24"/>
      <c r="AA17" s="24"/>
    </row>
    <row r="18">
      <c r="A18" s="87" t="s">
        <v>336</v>
      </c>
      <c r="B18" s="59"/>
      <c r="C18" s="59"/>
      <c r="D18" s="59"/>
      <c r="E18" s="59"/>
      <c r="F18" s="59"/>
      <c r="G18" s="59"/>
      <c r="H18" s="59"/>
      <c r="I18" s="59"/>
      <c r="J18" s="59"/>
      <c r="K18" s="59"/>
      <c r="L18" s="59"/>
      <c r="M18" s="60"/>
      <c r="N18" s="24"/>
      <c r="O18" s="24"/>
      <c r="P18" s="24"/>
      <c r="Q18" s="24"/>
      <c r="R18" s="24"/>
      <c r="S18" s="24"/>
      <c r="T18" s="24"/>
      <c r="U18" s="24"/>
      <c r="V18" s="24"/>
      <c r="W18" s="24"/>
      <c r="X18" s="24"/>
      <c r="Y18" s="24"/>
      <c r="Z18" s="24"/>
      <c r="AA18" s="24"/>
    </row>
    <row r="19" ht="98.25" customHeight="1">
      <c r="A19" s="88" t="s">
        <v>337</v>
      </c>
      <c r="B19" s="90" t="s">
        <v>338</v>
      </c>
      <c r="C19" s="91" t="s">
        <v>339</v>
      </c>
      <c r="D19" s="93" t="s">
        <v>340</v>
      </c>
      <c r="E19" s="59"/>
      <c r="F19" s="59"/>
      <c r="G19" s="102" t="s">
        <v>341</v>
      </c>
      <c r="H19" s="103">
        <v>46226.0</v>
      </c>
      <c r="I19" s="88" t="s">
        <v>23</v>
      </c>
      <c r="J19" s="91" t="s">
        <v>342</v>
      </c>
      <c r="K19" s="104"/>
      <c r="L19" s="104"/>
      <c r="M19" s="105"/>
      <c r="N19" s="24"/>
      <c r="O19" s="24"/>
      <c r="P19" s="24"/>
      <c r="Q19" s="24"/>
      <c r="R19" s="24"/>
      <c r="S19" s="24"/>
      <c r="T19" s="24"/>
      <c r="U19" s="24"/>
      <c r="V19" s="24"/>
      <c r="W19" s="24"/>
      <c r="X19" s="24"/>
      <c r="Y19" s="24"/>
      <c r="Z19" s="24"/>
      <c r="AA19" s="24"/>
    </row>
    <row r="20" ht="111.75" customHeight="1">
      <c r="A20" s="88" t="s">
        <v>343</v>
      </c>
      <c r="B20" s="90" t="s">
        <v>344</v>
      </c>
      <c r="C20" s="91" t="s">
        <v>345</v>
      </c>
      <c r="D20" s="93" t="s">
        <v>346</v>
      </c>
      <c r="E20" s="59"/>
      <c r="F20" s="59"/>
      <c r="G20" s="102" t="s">
        <v>347</v>
      </c>
      <c r="H20" s="103">
        <v>46226.0</v>
      </c>
      <c r="I20" s="88" t="s">
        <v>23</v>
      </c>
      <c r="J20" s="91" t="s">
        <v>342</v>
      </c>
      <c r="K20" s="104"/>
      <c r="L20" s="104"/>
      <c r="M20" s="105"/>
      <c r="N20" s="24"/>
      <c r="O20" s="24"/>
      <c r="P20" s="24"/>
      <c r="Q20" s="24"/>
      <c r="R20" s="24"/>
      <c r="S20" s="24"/>
      <c r="T20" s="24"/>
      <c r="U20" s="24"/>
      <c r="V20" s="24"/>
      <c r="W20" s="24"/>
      <c r="X20" s="24"/>
      <c r="Y20" s="24"/>
      <c r="Z20" s="24"/>
      <c r="AA20" s="24"/>
    </row>
    <row r="21">
      <c r="A21" s="87" t="s">
        <v>219</v>
      </c>
      <c r="B21" s="59"/>
      <c r="C21" s="59"/>
      <c r="D21" s="59"/>
      <c r="E21" s="59"/>
      <c r="F21" s="59"/>
      <c r="G21" s="59"/>
      <c r="H21" s="59"/>
      <c r="I21" s="59"/>
      <c r="J21" s="59"/>
      <c r="K21" s="59"/>
      <c r="L21" s="59"/>
      <c r="M21" s="60"/>
      <c r="N21" s="24"/>
      <c r="O21" s="24"/>
      <c r="P21" s="24"/>
      <c r="Q21" s="24"/>
      <c r="R21" s="24"/>
      <c r="S21" s="24"/>
      <c r="T21" s="24"/>
      <c r="U21" s="24"/>
      <c r="V21" s="24"/>
      <c r="W21" s="24"/>
      <c r="X21" s="24"/>
      <c r="Y21" s="24"/>
      <c r="Z21" s="24"/>
      <c r="AA21" s="24"/>
    </row>
    <row r="22" ht="114.0" customHeight="1">
      <c r="A22" s="88" t="s">
        <v>348</v>
      </c>
      <c r="B22" s="90" t="s">
        <v>349</v>
      </c>
      <c r="C22" s="91" t="s">
        <v>350</v>
      </c>
      <c r="D22" s="93" t="s">
        <v>351</v>
      </c>
      <c r="E22" s="59"/>
      <c r="F22" s="59"/>
      <c r="G22" s="102" t="s">
        <v>352</v>
      </c>
      <c r="H22" s="103">
        <v>46226.0</v>
      </c>
      <c r="I22" s="88" t="s">
        <v>23</v>
      </c>
      <c r="J22" s="91" t="s">
        <v>342</v>
      </c>
      <c r="K22" s="104"/>
      <c r="L22" s="104"/>
      <c r="M22" s="105"/>
      <c r="N22" s="24"/>
      <c r="O22" s="24"/>
      <c r="P22" s="24"/>
      <c r="Q22" s="24"/>
      <c r="R22" s="24"/>
      <c r="S22" s="24"/>
      <c r="T22" s="24"/>
      <c r="U22" s="24"/>
      <c r="V22" s="24"/>
      <c r="W22" s="24"/>
      <c r="X22" s="24"/>
      <c r="Y22" s="24"/>
      <c r="Z22" s="24"/>
      <c r="AA22" s="24"/>
    </row>
    <row r="23" ht="125.25" customHeight="1">
      <c r="A23" s="88" t="s">
        <v>353</v>
      </c>
      <c r="B23" s="90" t="s">
        <v>354</v>
      </c>
      <c r="C23" s="91" t="s">
        <v>355</v>
      </c>
      <c r="D23" s="93" t="s">
        <v>356</v>
      </c>
      <c r="E23" s="59"/>
      <c r="F23" s="59"/>
      <c r="G23" s="102" t="s">
        <v>357</v>
      </c>
      <c r="H23" s="103">
        <v>46226.0</v>
      </c>
      <c r="I23" s="88" t="s">
        <v>24</v>
      </c>
      <c r="J23" s="91" t="s">
        <v>358</v>
      </c>
      <c r="K23" s="103">
        <v>46226.0</v>
      </c>
      <c r="L23" s="88" t="s">
        <v>23</v>
      </c>
      <c r="M23" s="125" t="s">
        <v>359</v>
      </c>
    </row>
    <row r="24">
      <c r="A24" s="87" t="s">
        <v>360</v>
      </c>
      <c r="B24" s="59"/>
      <c r="C24" s="59"/>
      <c r="D24" s="59"/>
      <c r="E24" s="59"/>
      <c r="F24" s="59"/>
      <c r="G24" s="59"/>
      <c r="H24" s="59"/>
      <c r="I24" s="59"/>
      <c r="J24" s="59"/>
      <c r="K24" s="59"/>
      <c r="L24" s="59"/>
      <c r="M24" s="60"/>
      <c r="N24" s="24"/>
      <c r="O24" s="24"/>
      <c r="P24" s="24"/>
      <c r="Q24" s="24"/>
      <c r="R24" s="24"/>
      <c r="S24" s="24"/>
      <c r="T24" s="24"/>
      <c r="U24" s="24"/>
      <c r="V24" s="24"/>
      <c r="W24" s="24"/>
      <c r="X24" s="24"/>
      <c r="Y24" s="24"/>
      <c r="Z24" s="24"/>
      <c r="AA24" s="24"/>
    </row>
    <row r="25" ht="115.5" customHeight="1">
      <c r="A25" s="88" t="s">
        <v>361</v>
      </c>
      <c r="B25" s="90" t="s">
        <v>362</v>
      </c>
      <c r="C25" s="91" t="s">
        <v>363</v>
      </c>
      <c r="D25" s="93" t="s">
        <v>364</v>
      </c>
      <c r="E25" s="59"/>
      <c r="F25" s="59"/>
      <c r="G25" s="102" t="s">
        <v>365</v>
      </c>
      <c r="H25" s="103">
        <v>46252.0</v>
      </c>
      <c r="I25" s="88" t="s">
        <v>24</v>
      </c>
      <c r="J25" s="91" t="s">
        <v>366</v>
      </c>
      <c r="K25" s="103"/>
      <c r="L25" s="103"/>
      <c r="M25" s="126"/>
      <c r="N25" s="24"/>
      <c r="O25" s="24"/>
      <c r="P25" s="24"/>
      <c r="Q25" s="24"/>
      <c r="R25" s="24"/>
      <c r="S25" s="24"/>
      <c r="T25" s="24"/>
      <c r="U25" s="24"/>
      <c r="V25" s="24"/>
      <c r="W25" s="24"/>
      <c r="X25" s="24"/>
      <c r="Y25" s="24"/>
      <c r="Z25" s="24"/>
      <c r="AA25" s="24"/>
    </row>
    <row r="26" ht="115.5" customHeight="1">
      <c r="A26" s="88" t="s">
        <v>367</v>
      </c>
      <c r="B26" s="90" t="s">
        <v>368</v>
      </c>
      <c r="C26" s="91" t="s">
        <v>369</v>
      </c>
      <c r="D26" s="93" t="s">
        <v>370</v>
      </c>
      <c r="E26" s="59"/>
      <c r="F26" s="59"/>
      <c r="G26" s="102" t="s">
        <v>371</v>
      </c>
      <c r="H26" s="103">
        <v>46279.0</v>
      </c>
      <c r="I26" s="88" t="s">
        <v>23</v>
      </c>
      <c r="J26" s="91" t="s">
        <v>372</v>
      </c>
      <c r="K26" s="103"/>
      <c r="L26" s="103"/>
      <c r="M26" s="126"/>
      <c r="N26" s="24"/>
      <c r="O26" s="24"/>
      <c r="P26" s="24"/>
      <c r="Q26" s="24"/>
      <c r="R26" s="24"/>
      <c r="S26" s="24"/>
      <c r="T26" s="24"/>
      <c r="U26" s="24"/>
      <c r="V26" s="24"/>
      <c r="W26" s="24"/>
      <c r="X26" s="24"/>
      <c r="Y26" s="24"/>
      <c r="Z26" s="24"/>
      <c r="AA26" s="24"/>
    </row>
    <row r="27">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row>
    <row r="28">
      <c r="A28" s="24"/>
      <c r="B28" s="127"/>
      <c r="C28" s="24"/>
      <c r="D28" s="24"/>
      <c r="E28" s="24"/>
      <c r="F28" s="24"/>
      <c r="G28" s="24"/>
      <c r="H28" s="24"/>
      <c r="I28" s="24"/>
      <c r="J28" s="24"/>
      <c r="K28" s="24"/>
      <c r="L28" s="24"/>
      <c r="M28" s="24"/>
      <c r="N28" s="24"/>
      <c r="O28" s="24"/>
      <c r="P28" s="24"/>
      <c r="Q28" s="24"/>
      <c r="R28" s="24"/>
      <c r="S28" s="24"/>
      <c r="T28" s="24"/>
      <c r="U28" s="24"/>
      <c r="V28" s="24"/>
      <c r="W28" s="24"/>
      <c r="X28" s="24"/>
      <c r="Y28" s="24"/>
      <c r="Z28" s="24"/>
      <c r="AA28" s="24"/>
    </row>
    <row r="29">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row>
    <row r="30">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c r="AA30" s="24"/>
    </row>
    <row r="3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row>
    <row r="32">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row>
    <row r="33">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row>
    <row r="34">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row>
    <row r="35">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row>
    <row r="36">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row>
    <row r="37">
      <c r="A37" s="24"/>
      <c r="B37" s="24"/>
      <c r="C37" s="24"/>
      <c r="D37" s="24"/>
      <c r="E37" s="24"/>
      <c r="F37" s="105"/>
      <c r="G37" s="24"/>
      <c r="H37" s="24"/>
      <c r="I37" s="24"/>
      <c r="J37" s="24"/>
      <c r="K37" s="24"/>
      <c r="L37" s="24"/>
      <c r="M37" s="24"/>
      <c r="N37" s="24"/>
      <c r="O37" s="24"/>
      <c r="P37" s="24"/>
      <c r="Q37" s="24"/>
      <c r="R37" s="24"/>
      <c r="S37" s="24"/>
      <c r="T37" s="24"/>
      <c r="U37" s="24"/>
      <c r="V37" s="24"/>
      <c r="W37" s="24"/>
      <c r="X37" s="24"/>
      <c r="Y37" s="24"/>
      <c r="Z37" s="24"/>
      <c r="AA37" s="24"/>
    </row>
    <row r="38">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row>
    <row r="39">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row>
    <row r="40">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row>
    <row r="4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row>
    <row r="42">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row>
    <row r="43">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row>
    <row r="44">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row>
    <row r="4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row>
    <row r="46">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row>
    <row r="47">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row>
    <row r="48">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row>
    <row r="49">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row>
    <row r="50">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row>
    <row r="5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row>
    <row r="52">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row>
    <row r="53">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row>
    <row r="54">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row>
    <row r="5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row>
    <row r="56">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row>
    <row r="57">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row>
    <row r="58">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row>
    <row r="59">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row>
    <row r="60">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row>
    <row r="6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row>
    <row r="62">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row>
    <row r="63">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row>
    <row r="64">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row>
    <row r="6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row>
    <row r="66">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row>
    <row r="67">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row>
    <row r="68">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row>
    <row r="69">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row>
    <row r="70">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row>
    <row r="7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row>
    <row r="72">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row>
    <row r="73">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row>
    <row r="74">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row>
    <row r="7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row>
    <row r="76">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row>
    <row r="77">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row>
    <row r="78">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row>
    <row r="79">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row>
    <row r="80">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row>
    <row r="8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row>
    <row r="82">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row>
    <row r="83">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row>
    <row r="84">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row>
    <row r="8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row>
    <row r="86">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row>
    <row r="87">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row>
    <row r="88">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row>
    <row r="89">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row>
    <row r="90">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row>
    <row r="9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row>
    <row r="9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row>
    <row r="93">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row>
    <row r="94">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row>
    <row r="9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row>
    <row r="96">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row>
    <row r="97">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row>
    <row r="98">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row>
    <row r="99">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c r="AA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c r="AA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c r="AA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c r="AA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c r="AA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c r="AA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c r="AA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c r="AA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c r="AA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c r="AA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c r="AA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c r="AA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c r="AA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c r="AA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c r="AA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c r="AA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c r="AA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c r="AA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c r="AA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c r="AA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c r="AA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c r="AA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c r="AA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c r="AA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c r="AA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c r="AA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c r="AA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c r="AA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c r="AA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c r="AA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c r="AA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c r="AA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c r="AA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c r="AA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c r="AA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c r="AA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c r="AA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c r="AA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c r="AA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c r="AA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c r="AA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c r="AA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c r="AA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c r="AA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c r="AA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c r="AA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c r="AA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c r="AA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c r="AA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c r="AA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c r="AA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c r="AA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c r="AA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c r="AA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c r="AA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c r="AA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c r="AA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c r="AA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c r="AA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c r="AA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c r="AA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c r="AA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c r="AA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c r="AA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c r="AA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c r="AA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c r="AA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c r="AA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c r="AA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c r="AA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c r="AA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c r="AA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c r="AA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c r="AA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c r="AA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c r="AA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c r="AA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c r="AA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c r="AA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c r="AA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c r="AA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c r="AA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c r="AA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c r="AA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c r="AA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c r="AA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c r="AA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c r="AA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c r="AA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c r="AA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c r="AA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c r="AA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c r="AA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c r="AA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c r="AA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c r="AA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c r="AA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c r="AA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c r="AA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c r="AA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c r="AA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c r="AA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c r="AA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c r="AA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c r="AA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c r="AA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c r="AA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c r="AA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c r="AA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c r="AA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c r="AA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c r="AA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c r="AA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c r="AA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c r="AA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c r="AA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c r="AA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c r="AA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c r="AA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c r="AA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c r="AA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c r="AA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c r="AA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c r="AA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c r="AA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c r="AA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c r="AA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c r="AA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c r="AA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c r="AA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c r="AA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c r="AA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c r="AA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c r="AA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c r="AA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c r="AA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c r="AA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c r="AA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c r="AA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c r="AA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c r="AA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c r="AA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c r="AA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c r="AA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c r="AA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c r="AA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c r="AA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c r="AA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c r="AA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c r="AA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c r="AA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c r="AA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c r="AA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c r="AA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c r="AA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c r="AA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c r="AA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c r="AA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c r="AA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c r="AA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c r="AA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c r="AA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c r="AA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c r="AA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c r="AA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c r="AA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c r="AA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c r="AA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c r="AA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c r="AA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c r="AA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c r="AA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c r="AA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c r="AA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c r="AA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c r="AA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c r="AA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c r="AA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c r="AA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c r="AA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c r="AA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c r="AA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c r="AA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c r="AA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c r="AA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c r="AA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c r="AA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c r="AA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c r="AA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c r="AA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c r="AA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c r="AA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c r="AA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c r="AA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c r="AA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c r="AA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c r="AA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c r="AA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c r="AA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c r="AA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c r="AA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c r="AA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c r="AA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c r="AA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c r="AA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c r="AA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c r="AA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c r="AA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c r="AA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c r="AA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c r="AA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c r="AA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c r="AA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c r="AA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c r="AA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c r="AA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c r="AA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c r="AA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c r="AA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c r="AA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c r="AA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c r="AA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c r="AA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c r="AA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c r="AA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c r="AA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c r="AA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c r="AA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c r="AA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c r="AA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c r="AA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c r="AA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c r="AA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c r="AA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c r="AA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c r="AA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c r="AA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c r="AA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c r="AA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c r="AA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c r="AA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c r="AA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c r="AA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c r="AA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c r="AA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c r="AA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c r="AA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c r="AA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c r="AA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c r="AA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c r="AA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c r="AA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c r="AA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c r="AA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c r="AA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c r="AA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c r="AA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c r="AA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c r="AA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c r="AA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c r="AA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c r="AA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c r="AA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c r="AA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c r="AA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c r="AA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c r="AA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c r="AA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c r="AA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c r="AA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c r="AA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c r="AA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c r="AA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c r="AA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c r="AA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c r="AA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c r="AA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c r="AA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c r="AA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c r="AA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c r="AA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c r="AA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c r="AA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c r="AA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c r="AA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c r="AA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c r="AA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c r="AA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c r="AA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c r="AA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c r="AA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c r="AA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c r="AA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c r="AA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c r="AA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c r="AA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c r="AA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c r="AA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c r="AA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c r="AA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c r="AA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c r="AA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c r="AA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c r="AA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c r="AA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c r="AA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c r="AA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c r="AA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c r="AA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c r="AA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c r="AA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c r="AA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c r="AA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c r="AA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c r="AA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c r="AA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c r="AA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c r="AA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c r="AA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c r="AA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c r="AA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c r="AA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c r="AA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c r="AA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c r="AA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c r="AA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c r="AA977" s="24"/>
    </row>
    <row r="97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c r="AA978" s="24"/>
    </row>
    <row r="979">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c r="AA979" s="24"/>
    </row>
    <row r="980">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c r="AA980" s="24"/>
    </row>
    <row r="98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c r="AA981" s="24"/>
    </row>
    <row r="982">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c r="AA982" s="24"/>
    </row>
    <row r="983">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c r="AA983" s="24"/>
    </row>
    <row r="984">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c r="AA984" s="24"/>
    </row>
    <row r="98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c r="AA985" s="24"/>
    </row>
    <row r="986">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c r="AA986" s="24"/>
    </row>
    <row r="987">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c r="AA987" s="24"/>
    </row>
    <row r="988">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c r="AA988" s="24"/>
    </row>
    <row r="989">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c r="AA989" s="24"/>
    </row>
    <row r="990">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c r="AA990" s="24"/>
    </row>
    <row r="99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c r="AA991" s="24"/>
    </row>
    <row r="992">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c r="AA992" s="24"/>
    </row>
    <row r="993">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c r="AA993" s="24"/>
    </row>
    <row r="994">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c r="AA994" s="24"/>
    </row>
    <row r="995">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c r="AA995" s="24"/>
    </row>
    <row r="996">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c r="AA996" s="24"/>
    </row>
    <row r="997">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c r="AA997" s="24"/>
    </row>
    <row r="998">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c r="AA998" s="24"/>
    </row>
    <row r="999">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c r="AA999" s="24"/>
    </row>
    <row r="1000">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c r="AA1000" s="24"/>
    </row>
    <row r="1001">
      <c r="A1001" s="24"/>
      <c r="B1001" s="24"/>
      <c r="C1001" s="24"/>
      <c r="D1001" s="24"/>
      <c r="E1001" s="24"/>
      <c r="F1001" s="24"/>
      <c r="G1001" s="24"/>
      <c r="H1001" s="24"/>
      <c r="I1001" s="24"/>
      <c r="J1001" s="24"/>
      <c r="K1001" s="24"/>
      <c r="L1001" s="24"/>
      <c r="M1001" s="24"/>
      <c r="N1001" s="24"/>
      <c r="O1001" s="24"/>
      <c r="P1001" s="24"/>
      <c r="Q1001" s="24"/>
      <c r="R1001" s="24"/>
      <c r="S1001" s="24"/>
      <c r="T1001" s="24"/>
      <c r="U1001" s="24"/>
      <c r="V1001" s="24"/>
      <c r="W1001" s="24"/>
      <c r="X1001" s="24"/>
      <c r="Y1001" s="24"/>
      <c r="Z1001" s="24"/>
      <c r="AA1001" s="24"/>
    </row>
  </sheetData>
  <mergeCells count="31">
    <mergeCell ref="B1:D2"/>
    <mergeCell ref="B3:D3"/>
    <mergeCell ref="B4:D4"/>
    <mergeCell ref="B5:D5"/>
    <mergeCell ref="A9:A10"/>
    <mergeCell ref="B9:B10"/>
    <mergeCell ref="C9:C10"/>
    <mergeCell ref="D9:F10"/>
    <mergeCell ref="G9:G10"/>
    <mergeCell ref="H9:H10"/>
    <mergeCell ref="I9:I10"/>
    <mergeCell ref="J9:J10"/>
    <mergeCell ref="K9:K10"/>
    <mergeCell ref="L9:L10"/>
    <mergeCell ref="M9:M10"/>
    <mergeCell ref="F11:M11"/>
    <mergeCell ref="A12:M12"/>
    <mergeCell ref="D13:F13"/>
    <mergeCell ref="A14:M14"/>
    <mergeCell ref="D15:F15"/>
    <mergeCell ref="D16:F16"/>
    <mergeCell ref="D17:F17"/>
    <mergeCell ref="A18:M18"/>
    <mergeCell ref="D19:F19"/>
    <mergeCell ref="D20:F20"/>
    <mergeCell ref="A21:M21"/>
    <mergeCell ref="D22:F22"/>
    <mergeCell ref="A24:M24"/>
    <mergeCell ref="D23:F23"/>
    <mergeCell ref="D25:F25"/>
    <mergeCell ref="D26:F26"/>
  </mergeCells>
  <hyperlinks>
    <hyperlink r:id="rId1" ref="G13"/>
    <hyperlink r:id="rId2" ref="G15"/>
    <hyperlink r:id="rId3" ref="G16"/>
    <hyperlink r:id="rId4" ref="G17"/>
    <hyperlink r:id="rId5" ref="G19"/>
    <hyperlink r:id="rId6" ref="G20"/>
    <hyperlink r:id="rId7" ref="G22"/>
    <hyperlink r:id="rId8" ref="G23"/>
    <hyperlink r:id="rId9" ref="M23"/>
    <hyperlink r:id="rId10" ref="G25"/>
    <hyperlink r:id="rId11" ref="G26"/>
  </hyperlinks>
  <drawing r:id="rId1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63"/>
    <col customWidth="1" min="2" max="2" width="22.13"/>
    <col customWidth="1" min="3" max="3" width="43.5"/>
    <col customWidth="1" min="6" max="6" width="19.0"/>
    <col customWidth="1" min="7" max="7" width="22.63"/>
    <col customWidth="1" min="8" max="8" width="20.13"/>
    <col customWidth="1" min="9" max="9" width="15.5"/>
    <col customWidth="1" min="10" max="10" width="21.38"/>
    <col customWidth="1" min="11" max="12" width="19.88"/>
    <col customWidth="1" min="13" max="13" width="25.63"/>
  </cols>
  <sheetData>
    <row r="1">
      <c r="A1" s="11" t="s">
        <v>3</v>
      </c>
      <c r="B1" s="18"/>
      <c r="E1" s="18"/>
      <c r="F1" s="18"/>
      <c r="G1" s="18"/>
      <c r="H1" s="18"/>
      <c r="I1" s="18"/>
      <c r="J1" s="18"/>
      <c r="K1" s="24"/>
      <c r="L1" s="24"/>
      <c r="M1" s="24"/>
      <c r="N1" s="24"/>
      <c r="O1" s="24"/>
      <c r="P1" s="24"/>
      <c r="Q1" s="24"/>
      <c r="R1" s="24"/>
      <c r="S1" s="24"/>
      <c r="T1" s="24"/>
      <c r="U1" s="24"/>
      <c r="V1" s="24"/>
      <c r="W1" s="24"/>
      <c r="X1" s="24"/>
      <c r="Y1" s="24"/>
      <c r="Z1" s="24"/>
      <c r="AA1" s="24"/>
    </row>
    <row r="2">
      <c r="A2" s="18"/>
      <c r="B2" s="44"/>
      <c r="C2" s="44"/>
      <c r="D2" s="44"/>
      <c r="E2" s="18"/>
      <c r="F2" s="18"/>
      <c r="G2" s="18"/>
      <c r="H2" s="18"/>
      <c r="I2" s="18"/>
      <c r="J2" s="18"/>
      <c r="K2" s="24"/>
      <c r="L2" s="24"/>
      <c r="M2" s="24"/>
      <c r="N2" s="24"/>
      <c r="O2" s="24"/>
      <c r="P2" s="24"/>
      <c r="Q2" s="24"/>
      <c r="R2" s="24"/>
      <c r="S2" s="24"/>
      <c r="T2" s="24"/>
      <c r="U2" s="24"/>
      <c r="V2" s="24"/>
      <c r="W2" s="24"/>
      <c r="X2" s="24"/>
      <c r="Y2" s="24"/>
      <c r="Z2" s="24"/>
      <c r="AA2" s="24"/>
    </row>
    <row r="3">
      <c r="A3" s="56" t="s">
        <v>60</v>
      </c>
      <c r="B3" s="58" t="s">
        <v>63</v>
      </c>
      <c r="C3" s="59"/>
      <c r="D3" s="60"/>
      <c r="E3" s="18"/>
      <c r="F3" s="18"/>
      <c r="G3" s="18"/>
      <c r="H3" s="18"/>
      <c r="I3" s="24"/>
      <c r="J3" s="24"/>
      <c r="K3" s="24"/>
      <c r="L3" s="24"/>
      <c r="M3" s="24"/>
      <c r="N3" s="24"/>
      <c r="O3" s="24"/>
      <c r="P3" s="24"/>
      <c r="Q3" s="24"/>
      <c r="R3" s="24"/>
      <c r="S3" s="24"/>
      <c r="T3" s="24"/>
      <c r="U3" s="24"/>
      <c r="V3" s="24"/>
      <c r="W3" s="24"/>
      <c r="X3" s="24"/>
      <c r="Y3" s="24"/>
      <c r="Z3" s="24"/>
      <c r="AA3" s="24"/>
    </row>
    <row r="4">
      <c r="A4" s="56" t="s">
        <v>69</v>
      </c>
      <c r="B4" s="61" t="s">
        <v>373</v>
      </c>
      <c r="C4" s="59"/>
      <c r="D4" s="60"/>
      <c r="E4" s="18"/>
      <c r="F4" s="18"/>
      <c r="G4" s="18"/>
      <c r="H4" s="18"/>
      <c r="I4" s="24"/>
      <c r="J4" s="24"/>
      <c r="K4" s="24"/>
      <c r="L4" s="24"/>
      <c r="M4" s="24"/>
      <c r="N4" s="24"/>
      <c r="O4" s="24"/>
      <c r="P4" s="24"/>
      <c r="Q4" s="24"/>
      <c r="R4" s="24"/>
      <c r="S4" s="24"/>
      <c r="T4" s="24"/>
      <c r="U4" s="24"/>
      <c r="V4" s="24"/>
      <c r="W4" s="24"/>
      <c r="X4" s="24"/>
      <c r="Y4" s="24"/>
      <c r="Z4" s="24"/>
      <c r="AA4" s="24"/>
    </row>
    <row r="5">
      <c r="A5" s="56" t="s">
        <v>83</v>
      </c>
      <c r="B5" s="58" t="s">
        <v>374</v>
      </c>
      <c r="C5" s="59"/>
      <c r="D5" s="60"/>
      <c r="E5" s="18"/>
      <c r="F5" s="18"/>
      <c r="G5" s="18"/>
      <c r="H5" s="18"/>
      <c r="I5" s="24"/>
      <c r="J5" s="24"/>
      <c r="K5" s="24"/>
      <c r="L5" s="24"/>
      <c r="M5" s="24"/>
      <c r="N5" s="24"/>
      <c r="O5" s="24"/>
      <c r="P5" s="24"/>
      <c r="Q5" s="24"/>
      <c r="R5" s="24"/>
      <c r="S5" s="24"/>
      <c r="T5" s="24"/>
      <c r="U5" s="24"/>
      <c r="V5" s="24"/>
      <c r="W5" s="24"/>
      <c r="X5" s="24"/>
      <c r="Y5" s="24"/>
      <c r="Z5" s="24"/>
      <c r="AA5" s="24"/>
    </row>
    <row r="6">
      <c r="A6" s="69" t="s">
        <v>23</v>
      </c>
      <c r="B6" s="70">
        <v>5.0</v>
      </c>
      <c r="C6" s="72" t="s">
        <v>25</v>
      </c>
      <c r="D6" s="73">
        <v>0.0</v>
      </c>
      <c r="E6" s="18"/>
      <c r="F6" s="18"/>
      <c r="G6" s="18"/>
      <c r="H6" s="18"/>
      <c r="I6" s="24"/>
      <c r="J6" s="24"/>
      <c r="K6" s="24"/>
      <c r="L6" s="24"/>
      <c r="M6" s="24"/>
      <c r="N6" s="24"/>
      <c r="O6" s="24"/>
      <c r="P6" s="24"/>
      <c r="Q6" s="24"/>
      <c r="R6" s="24"/>
      <c r="S6" s="24"/>
      <c r="T6" s="24"/>
      <c r="U6" s="24"/>
      <c r="V6" s="24"/>
      <c r="W6" s="24"/>
      <c r="X6" s="24"/>
      <c r="Y6" s="24"/>
      <c r="Z6" s="24"/>
      <c r="AA6" s="24"/>
    </row>
    <row r="7">
      <c r="A7" s="69" t="s">
        <v>24</v>
      </c>
      <c r="B7" s="70">
        <v>4.0</v>
      </c>
      <c r="C7" s="75" t="s">
        <v>99</v>
      </c>
      <c r="D7" s="73">
        <v>9.0</v>
      </c>
      <c r="E7" s="18"/>
      <c r="F7" s="18"/>
      <c r="G7" s="18"/>
      <c r="H7" s="18"/>
      <c r="I7" s="24"/>
      <c r="J7" s="24"/>
      <c r="K7" s="24"/>
      <c r="L7" s="24"/>
      <c r="M7" s="24"/>
      <c r="N7" s="24"/>
      <c r="O7" s="24"/>
      <c r="P7" s="24"/>
      <c r="Q7" s="24"/>
      <c r="R7" s="24"/>
      <c r="S7" s="24"/>
      <c r="T7" s="24"/>
      <c r="U7" s="24"/>
      <c r="V7" s="24"/>
      <c r="W7" s="24"/>
      <c r="X7" s="24"/>
      <c r="Y7" s="24"/>
      <c r="Z7" s="24"/>
      <c r="AA7" s="24"/>
    </row>
    <row r="8">
      <c r="A8" s="76"/>
      <c r="B8" s="77"/>
      <c r="C8" s="77"/>
      <c r="D8" s="77"/>
      <c r="E8" s="18"/>
      <c r="F8" s="18"/>
      <c r="G8" s="18"/>
      <c r="H8" s="18"/>
      <c r="I8" s="78"/>
      <c r="J8" s="78"/>
      <c r="K8" s="24"/>
      <c r="L8" s="24"/>
      <c r="M8" s="24"/>
      <c r="N8" s="24"/>
      <c r="O8" s="24"/>
      <c r="P8" s="24"/>
      <c r="Q8" s="24"/>
      <c r="R8" s="24"/>
      <c r="S8" s="24"/>
      <c r="T8" s="24"/>
      <c r="U8" s="24"/>
      <c r="V8" s="24"/>
      <c r="W8" s="24"/>
      <c r="X8" s="24"/>
      <c r="Y8" s="24"/>
      <c r="Z8" s="24"/>
      <c r="AA8" s="24"/>
    </row>
    <row r="9">
      <c r="A9" s="79" t="s">
        <v>101</v>
      </c>
      <c r="B9" s="80" t="s">
        <v>102</v>
      </c>
      <c r="C9" s="79" t="s">
        <v>103</v>
      </c>
      <c r="D9" s="81" t="s">
        <v>104</v>
      </c>
      <c r="G9" s="79" t="s">
        <v>106</v>
      </c>
      <c r="H9" s="82" t="s">
        <v>107</v>
      </c>
      <c r="I9" s="82" t="s">
        <v>109</v>
      </c>
      <c r="J9" s="82" t="s">
        <v>110</v>
      </c>
      <c r="K9" s="83" t="s">
        <v>111</v>
      </c>
      <c r="L9" s="82" t="s">
        <v>112</v>
      </c>
      <c r="M9" s="82" t="s">
        <v>113</v>
      </c>
      <c r="N9" s="24"/>
      <c r="O9" s="24"/>
      <c r="P9" s="24"/>
      <c r="Q9" s="24"/>
      <c r="R9" s="24"/>
      <c r="S9" s="24"/>
      <c r="T9" s="24"/>
      <c r="U9" s="24"/>
      <c r="V9" s="24"/>
      <c r="W9" s="24"/>
      <c r="X9" s="24"/>
      <c r="Y9" s="24"/>
      <c r="Z9" s="24"/>
      <c r="AA9" s="24"/>
    </row>
    <row r="10">
      <c r="A10" s="84"/>
      <c r="B10" s="84"/>
      <c r="C10" s="84"/>
      <c r="D10" s="85"/>
      <c r="E10" s="44"/>
      <c r="F10" s="44"/>
      <c r="G10" s="84"/>
      <c r="H10" s="84"/>
      <c r="I10" s="84"/>
      <c r="J10" s="84"/>
      <c r="K10" s="84"/>
      <c r="L10" s="84"/>
      <c r="M10" s="84"/>
      <c r="N10" s="24"/>
      <c r="O10" s="24"/>
      <c r="P10" s="24"/>
      <c r="Q10" s="24"/>
      <c r="R10" s="24"/>
      <c r="S10" s="24"/>
      <c r="T10" s="24"/>
      <c r="U10" s="24"/>
      <c r="V10" s="24"/>
      <c r="W10" s="24"/>
      <c r="X10" s="24"/>
      <c r="Y10" s="24"/>
      <c r="Z10" s="24"/>
      <c r="AA10" s="24"/>
    </row>
    <row r="11">
      <c r="A11" s="86"/>
      <c r="B11" s="77"/>
      <c r="C11" s="77"/>
      <c r="D11" s="77"/>
      <c r="E11" s="77"/>
      <c r="F11" s="77"/>
      <c r="G11" s="59"/>
      <c r="H11" s="59"/>
      <c r="I11" s="59"/>
      <c r="J11" s="59"/>
      <c r="K11" s="59"/>
      <c r="L11" s="59"/>
      <c r="M11" s="59"/>
      <c r="N11" s="24"/>
      <c r="O11" s="24"/>
      <c r="P11" s="24"/>
      <c r="Q11" s="24"/>
      <c r="R11" s="24"/>
      <c r="S11" s="24"/>
      <c r="T11" s="24"/>
      <c r="U11" s="24"/>
      <c r="V11" s="24"/>
      <c r="W11" s="24"/>
      <c r="X11" s="24"/>
      <c r="Y11" s="24"/>
      <c r="Z11" s="24"/>
      <c r="AA11" s="24"/>
    </row>
    <row r="12">
      <c r="A12" s="87" t="s">
        <v>375</v>
      </c>
      <c r="B12" s="59"/>
      <c r="C12" s="59"/>
      <c r="D12" s="59"/>
      <c r="E12" s="59"/>
      <c r="F12" s="59"/>
      <c r="G12" s="59"/>
      <c r="H12" s="59"/>
      <c r="I12" s="59"/>
      <c r="J12" s="59"/>
      <c r="K12" s="59"/>
      <c r="L12" s="59"/>
      <c r="M12" s="60"/>
      <c r="N12" s="24"/>
      <c r="O12" s="24"/>
      <c r="P12" s="24"/>
      <c r="Q12" s="24"/>
      <c r="R12" s="24"/>
      <c r="S12" s="24"/>
      <c r="T12" s="24"/>
      <c r="U12" s="24"/>
      <c r="V12" s="24"/>
      <c r="W12" s="24"/>
      <c r="X12" s="24"/>
      <c r="Y12" s="24"/>
      <c r="Z12" s="24"/>
      <c r="AA12" s="24"/>
    </row>
    <row r="13" ht="135.75" customHeight="1">
      <c r="A13" s="88" t="s">
        <v>376</v>
      </c>
      <c r="B13" s="90" t="s">
        <v>377</v>
      </c>
      <c r="C13" s="91" t="s">
        <v>378</v>
      </c>
      <c r="D13" s="93" t="s">
        <v>379</v>
      </c>
      <c r="E13" s="59"/>
      <c r="F13" s="59"/>
      <c r="G13" s="102" t="s">
        <v>380</v>
      </c>
      <c r="H13" s="103">
        <v>46232.0</v>
      </c>
      <c r="I13" s="88" t="s">
        <v>23</v>
      </c>
      <c r="J13" s="91" t="s">
        <v>381</v>
      </c>
      <c r="K13" s="104"/>
      <c r="L13" s="24"/>
      <c r="M13" s="105"/>
      <c r="N13" s="24"/>
      <c r="O13" s="24"/>
      <c r="P13" s="24"/>
      <c r="Q13" s="24"/>
      <c r="R13" s="24"/>
      <c r="S13" s="24"/>
      <c r="T13" s="24"/>
      <c r="U13" s="24"/>
      <c r="V13" s="24"/>
      <c r="W13" s="24"/>
      <c r="X13" s="24"/>
      <c r="Y13" s="24"/>
      <c r="Z13" s="24"/>
      <c r="AA13" s="24"/>
    </row>
    <row r="14">
      <c r="A14" s="87" t="s">
        <v>382</v>
      </c>
      <c r="B14" s="59"/>
      <c r="C14" s="59"/>
      <c r="D14" s="59"/>
      <c r="E14" s="59"/>
      <c r="F14" s="59"/>
      <c r="G14" s="59"/>
      <c r="H14" s="59"/>
      <c r="I14" s="59"/>
      <c r="J14" s="59"/>
      <c r="K14" s="59"/>
      <c r="L14" s="59"/>
      <c r="M14" s="60"/>
      <c r="N14" s="24"/>
      <c r="O14" s="24"/>
      <c r="P14" s="24"/>
      <c r="Q14" s="24"/>
      <c r="R14" s="24"/>
      <c r="S14" s="24"/>
      <c r="T14" s="24"/>
      <c r="U14" s="24"/>
      <c r="V14" s="24"/>
      <c r="W14" s="24"/>
      <c r="X14" s="24"/>
      <c r="Y14" s="24"/>
      <c r="Z14" s="24"/>
      <c r="AA14" s="24"/>
    </row>
    <row r="15" ht="129.0" customHeight="1">
      <c r="A15" s="88" t="s">
        <v>383</v>
      </c>
      <c r="B15" s="90" t="s">
        <v>384</v>
      </c>
      <c r="C15" s="91" t="s">
        <v>385</v>
      </c>
      <c r="D15" s="93" t="s">
        <v>386</v>
      </c>
      <c r="E15" s="59"/>
      <c r="F15" s="59"/>
      <c r="G15" s="102" t="s">
        <v>387</v>
      </c>
      <c r="H15" s="103">
        <v>46232.0</v>
      </c>
      <c r="I15" s="88" t="s">
        <v>23</v>
      </c>
      <c r="J15" s="91" t="s">
        <v>388</v>
      </c>
      <c r="K15" s="104"/>
      <c r="L15" s="104"/>
      <c r="M15" s="105"/>
      <c r="N15" s="24"/>
      <c r="O15" s="24"/>
      <c r="P15" s="24"/>
      <c r="Q15" s="24"/>
      <c r="R15" s="24"/>
      <c r="S15" s="24"/>
      <c r="T15" s="24"/>
      <c r="U15" s="24"/>
      <c r="V15" s="24"/>
      <c r="W15" s="24"/>
      <c r="X15" s="24"/>
      <c r="Y15" s="24"/>
      <c r="Z15" s="24"/>
      <c r="AA15" s="24"/>
    </row>
    <row r="16" ht="134.25" customHeight="1">
      <c r="A16" s="88" t="s">
        <v>389</v>
      </c>
      <c r="B16" s="90" t="s">
        <v>390</v>
      </c>
      <c r="C16" s="91" t="s">
        <v>391</v>
      </c>
      <c r="D16" s="93" t="s">
        <v>392</v>
      </c>
      <c r="E16" s="59"/>
      <c r="F16" s="59"/>
      <c r="G16" s="102" t="s">
        <v>393</v>
      </c>
      <c r="H16" s="103">
        <v>46232.0</v>
      </c>
      <c r="I16" s="88" t="s">
        <v>23</v>
      </c>
      <c r="J16" s="91" t="s">
        <v>394</v>
      </c>
      <c r="K16" s="104"/>
      <c r="L16" s="104"/>
      <c r="M16" s="105"/>
      <c r="N16" s="24"/>
      <c r="O16" s="24"/>
      <c r="P16" s="24"/>
      <c r="Q16" s="24"/>
      <c r="R16" s="24"/>
      <c r="S16" s="24"/>
      <c r="T16" s="24"/>
      <c r="U16" s="24"/>
      <c r="V16" s="24"/>
      <c r="W16" s="24"/>
      <c r="X16" s="24"/>
      <c r="Y16" s="24"/>
      <c r="Z16" s="24"/>
      <c r="AA16" s="24"/>
    </row>
    <row r="17">
      <c r="A17" s="87" t="s">
        <v>395</v>
      </c>
      <c r="B17" s="59"/>
      <c r="C17" s="59"/>
      <c r="D17" s="59"/>
      <c r="E17" s="59"/>
      <c r="F17" s="59"/>
      <c r="G17" s="59"/>
      <c r="H17" s="59"/>
      <c r="I17" s="59"/>
      <c r="J17" s="59"/>
      <c r="K17" s="59"/>
      <c r="L17" s="59"/>
      <c r="M17" s="60"/>
      <c r="N17" s="24"/>
      <c r="O17" s="24"/>
      <c r="P17" s="24"/>
      <c r="Q17" s="24"/>
      <c r="R17" s="24"/>
      <c r="S17" s="24"/>
      <c r="T17" s="24"/>
      <c r="U17" s="24"/>
      <c r="V17" s="24"/>
      <c r="W17" s="24"/>
      <c r="X17" s="24"/>
      <c r="Y17" s="24"/>
      <c r="Z17" s="24"/>
      <c r="AA17" s="24"/>
    </row>
    <row r="18" ht="117.0" customHeight="1">
      <c r="A18" s="88" t="s">
        <v>396</v>
      </c>
      <c r="B18" s="90" t="s">
        <v>397</v>
      </c>
      <c r="C18" s="91" t="s">
        <v>398</v>
      </c>
      <c r="D18" s="93" t="s">
        <v>399</v>
      </c>
      <c r="E18" s="59"/>
      <c r="F18" s="59"/>
      <c r="G18" s="102" t="s">
        <v>400</v>
      </c>
      <c r="H18" s="103">
        <v>46232.0</v>
      </c>
      <c r="I18" s="88" t="s">
        <v>24</v>
      </c>
      <c r="J18" s="91" t="s">
        <v>401</v>
      </c>
      <c r="K18" s="104"/>
      <c r="L18" s="104"/>
      <c r="M18" s="105"/>
      <c r="N18" s="24"/>
      <c r="O18" s="24"/>
      <c r="P18" s="24"/>
      <c r="Q18" s="24"/>
      <c r="R18" s="24"/>
      <c r="S18" s="24"/>
      <c r="T18" s="24"/>
      <c r="U18" s="24"/>
      <c r="V18" s="24"/>
      <c r="W18" s="24"/>
      <c r="X18" s="24"/>
      <c r="Y18" s="24"/>
      <c r="Z18" s="24"/>
      <c r="AA18" s="24"/>
    </row>
    <row r="19" ht="154.5" customHeight="1">
      <c r="A19" s="88" t="s">
        <v>402</v>
      </c>
      <c r="B19" s="90" t="s">
        <v>403</v>
      </c>
      <c r="C19" s="91" t="s">
        <v>404</v>
      </c>
      <c r="D19" s="93" t="s">
        <v>405</v>
      </c>
      <c r="E19" s="59"/>
      <c r="F19" s="59"/>
      <c r="G19" s="102" t="s">
        <v>406</v>
      </c>
      <c r="H19" s="103">
        <v>46232.0</v>
      </c>
      <c r="I19" s="88" t="s">
        <v>24</v>
      </c>
      <c r="J19" s="91" t="s">
        <v>407</v>
      </c>
      <c r="K19" s="103">
        <v>46233.0</v>
      </c>
      <c r="L19" s="88" t="s">
        <v>23</v>
      </c>
      <c r="M19" s="125" t="s">
        <v>408</v>
      </c>
      <c r="N19" s="24"/>
      <c r="O19" s="24"/>
      <c r="P19" s="24"/>
      <c r="Q19" s="24"/>
      <c r="R19" s="24"/>
      <c r="S19" s="24"/>
      <c r="T19" s="24"/>
      <c r="U19" s="24"/>
      <c r="V19" s="24"/>
      <c r="W19" s="24"/>
      <c r="X19" s="24"/>
      <c r="Y19" s="24"/>
      <c r="Z19" s="24"/>
      <c r="AA19" s="24"/>
    </row>
    <row r="20" ht="128.25" customHeight="1">
      <c r="A20" s="88" t="s">
        <v>409</v>
      </c>
      <c r="B20" s="90" t="s">
        <v>410</v>
      </c>
      <c r="C20" s="91" t="s">
        <v>411</v>
      </c>
      <c r="D20" s="93" t="s">
        <v>412</v>
      </c>
      <c r="E20" s="59"/>
      <c r="F20" s="59"/>
      <c r="G20" s="102" t="s">
        <v>413</v>
      </c>
      <c r="H20" s="103">
        <v>46232.0</v>
      </c>
      <c r="I20" s="88" t="s">
        <v>23</v>
      </c>
      <c r="J20" s="91" t="s">
        <v>414</v>
      </c>
      <c r="K20" s="104"/>
      <c r="L20" s="104"/>
      <c r="M20" s="105"/>
      <c r="N20" s="24"/>
      <c r="O20" s="24"/>
      <c r="P20" s="24"/>
      <c r="Q20" s="24"/>
      <c r="R20" s="24"/>
      <c r="S20" s="24"/>
      <c r="T20" s="24"/>
      <c r="U20" s="24"/>
      <c r="V20" s="24"/>
      <c r="W20" s="24"/>
      <c r="X20" s="24"/>
      <c r="Y20" s="24"/>
      <c r="Z20" s="24"/>
      <c r="AA20" s="24"/>
    </row>
    <row r="21" ht="126.0" customHeight="1">
      <c r="A21" s="88" t="s">
        <v>415</v>
      </c>
      <c r="B21" s="90" t="s">
        <v>416</v>
      </c>
      <c r="C21" s="91" t="s">
        <v>417</v>
      </c>
      <c r="D21" s="93" t="s">
        <v>418</v>
      </c>
      <c r="E21" s="59"/>
      <c r="F21" s="59"/>
      <c r="G21" s="102" t="s">
        <v>419</v>
      </c>
      <c r="H21" s="103">
        <v>46232.0</v>
      </c>
      <c r="I21" s="88" t="s">
        <v>24</v>
      </c>
      <c r="J21" s="91" t="s">
        <v>420</v>
      </c>
      <c r="K21" s="103">
        <v>46233.0</v>
      </c>
      <c r="L21" s="88" t="s">
        <v>23</v>
      </c>
      <c r="M21" s="125" t="s">
        <v>421</v>
      </c>
      <c r="N21" s="24"/>
      <c r="O21" s="24"/>
      <c r="P21" s="24"/>
      <c r="Q21" s="24"/>
      <c r="R21" s="24"/>
      <c r="S21" s="24"/>
      <c r="T21" s="24"/>
      <c r="U21" s="24"/>
      <c r="V21" s="24"/>
      <c r="W21" s="24"/>
      <c r="X21" s="24"/>
      <c r="Y21" s="24"/>
      <c r="Z21" s="24"/>
      <c r="AA21" s="24"/>
    </row>
    <row r="22" ht="111.75" customHeight="1">
      <c r="A22" s="88" t="s">
        <v>422</v>
      </c>
      <c r="B22" s="90" t="s">
        <v>423</v>
      </c>
      <c r="C22" s="91" t="s">
        <v>424</v>
      </c>
      <c r="D22" s="93" t="s">
        <v>425</v>
      </c>
      <c r="E22" s="59"/>
      <c r="F22" s="59"/>
      <c r="G22" s="102" t="s">
        <v>426</v>
      </c>
      <c r="H22" s="103">
        <v>46232.0</v>
      </c>
      <c r="I22" s="88" t="s">
        <v>24</v>
      </c>
      <c r="J22" s="91" t="s">
        <v>427</v>
      </c>
      <c r="K22" s="103">
        <v>46233.0</v>
      </c>
      <c r="L22" s="88" t="s">
        <v>23</v>
      </c>
      <c r="M22" s="125" t="s">
        <v>428</v>
      </c>
    </row>
    <row r="23">
      <c r="A23" s="87" t="s">
        <v>429</v>
      </c>
      <c r="B23" s="59"/>
      <c r="C23" s="59"/>
      <c r="D23" s="59"/>
      <c r="E23" s="59"/>
      <c r="F23" s="59"/>
      <c r="G23" s="59"/>
      <c r="H23" s="59"/>
      <c r="I23" s="59"/>
      <c r="J23" s="59"/>
      <c r="K23" s="59"/>
      <c r="L23" s="59"/>
      <c r="M23" s="60"/>
      <c r="N23" s="24"/>
      <c r="O23" s="24"/>
      <c r="P23" s="24"/>
      <c r="Q23" s="24"/>
      <c r="R23" s="24"/>
      <c r="S23" s="24"/>
      <c r="T23" s="24"/>
      <c r="U23" s="24"/>
      <c r="V23" s="24"/>
      <c r="W23" s="24"/>
      <c r="X23" s="24"/>
      <c r="Y23" s="24"/>
      <c r="Z23" s="24"/>
      <c r="AA23" s="24"/>
    </row>
    <row r="24" ht="126.75" customHeight="1">
      <c r="A24" s="88" t="s">
        <v>430</v>
      </c>
      <c r="B24" s="90" t="s">
        <v>431</v>
      </c>
      <c r="C24" s="91" t="s">
        <v>432</v>
      </c>
      <c r="D24" s="93" t="s">
        <v>433</v>
      </c>
      <c r="E24" s="59"/>
      <c r="F24" s="59"/>
      <c r="G24" s="102" t="s">
        <v>434</v>
      </c>
      <c r="H24" s="103">
        <v>46232.0</v>
      </c>
      <c r="I24" s="88" t="s">
        <v>23</v>
      </c>
      <c r="J24" s="91" t="s">
        <v>435</v>
      </c>
      <c r="K24" s="103"/>
      <c r="L24" s="88"/>
      <c r="M24" s="126"/>
    </row>
    <row r="25">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row>
    <row r="26">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row>
    <row r="27">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row>
    <row r="28">
      <c r="A28" s="24"/>
      <c r="B28" s="127"/>
      <c r="C28" s="24"/>
      <c r="D28" s="24"/>
      <c r="E28" s="24"/>
      <c r="F28" s="24"/>
      <c r="G28" s="24"/>
      <c r="H28" s="24"/>
      <c r="I28" s="24"/>
      <c r="J28" s="24"/>
      <c r="K28" s="24"/>
      <c r="L28" s="24"/>
      <c r="M28" s="24"/>
      <c r="N28" s="24"/>
      <c r="O28" s="24"/>
      <c r="P28" s="24"/>
      <c r="Q28" s="24"/>
      <c r="R28" s="24"/>
      <c r="S28" s="24"/>
      <c r="T28" s="24"/>
      <c r="U28" s="24"/>
      <c r="V28" s="24"/>
      <c r="W28" s="24"/>
      <c r="X28" s="24"/>
      <c r="Y28" s="24"/>
      <c r="Z28" s="24"/>
      <c r="AA28" s="24"/>
    </row>
    <row r="29">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row>
    <row r="30">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c r="AA30" s="24"/>
    </row>
    <row r="3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row>
    <row r="32">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row>
    <row r="33">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row>
    <row r="34">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row>
    <row r="35">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row>
    <row r="36">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row>
    <row r="37">
      <c r="A37" s="24"/>
      <c r="B37" s="24"/>
      <c r="C37" s="24"/>
      <c r="D37" s="24"/>
      <c r="E37" s="24"/>
      <c r="F37" s="128"/>
      <c r="G37" s="24"/>
      <c r="H37" s="24"/>
      <c r="I37" s="24"/>
      <c r="J37" s="24"/>
      <c r="K37" s="24"/>
      <c r="L37" s="24"/>
      <c r="M37" s="24"/>
      <c r="N37" s="24"/>
      <c r="O37" s="24"/>
      <c r="P37" s="24"/>
      <c r="Q37" s="24"/>
      <c r="R37" s="24"/>
      <c r="S37" s="24"/>
      <c r="T37" s="24"/>
      <c r="U37" s="24"/>
      <c r="V37" s="24"/>
      <c r="W37" s="24"/>
      <c r="X37" s="24"/>
      <c r="Y37" s="24"/>
      <c r="Z37" s="24"/>
      <c r="AA37" s="24"/>
    </row>
    <row r="38">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row>
    <row r="39">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row>
    <row r="40">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row>
    <row r="4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row>
    <row r="42">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row>
    <row r="43">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row>
    <row r="44">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row>
    <row r="4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row>
    <row r="46">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row>
    <row r="47">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row>
    <row r="48">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row>
    <row r="49">
      <c r="A49" s="24"/>
      <c r="B49" s="24"/>
      <c r="C49" s="24"/>
      <c r="D49" s="24"/>
      <c r="E49" s="24"/>
      <c r="F49" s="24"/>
      <c r="G49" s="127"/>
      <c r="H49" s="24"/>
      <c r="I49" s="24"/>
      <c r="J49" s="24"/>
      <c r="K49" s="24"/>
      <c r="L49" s="24"/>
      <c r="M49" s="24"/>
      <c r="N49" s="24"/>
      <c r="O49" s="24"/>
      <c r="P49" s="24"/>
      <c r="Q49" s="24"/>
      <c r="R49" s="24"/>
      <c r="S49" s="24"/>
      <c r="T49" s="24"/>
      <c r="U49" s="24"/>
      <c r="V49" s="24"/>
      <c r="W49" s="24"/>
      <c r="X49" s="24"/>
      <c r="Y49" s="24"/>
      <c r="Z49" s="24"/>
      <c r="AA49" s="24"/>
    </row>
    <row r="50">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row>
    <row r="5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row>
    <row r="52">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row>
    <row r="53">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row>
    <row r="54">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row>
    <row r="5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row>
    <row r="56">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row>
    <row r="57">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row>
    <row r="58">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row>
    <row r="59">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row>
    <row r="60">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row>
    <row r="6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row>
    <row r="62">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row>
    <row r="63">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row>
    <row r="64">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row>
    <row r="6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row>
    <row r="66">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row>
    <row r="67">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row>
    <row r="68">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row>
    <row r="69">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row>
    <row r="70">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row>
    <row r="7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row>
    <row r="72">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row>
    <row r="73">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row>
    <row r="74">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row>
    <row r="7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row>
    <row r="76">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row>
    <row r="77">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row>
    <row r="78">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row>
    <row r="79">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row>
    <row r="80">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row>
    <row r="8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row>
    <row r="82">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row>
    <row r="83">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row>
    <row r="84">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row>
    <row r="8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row>
    <row r="86">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row>
    <row r="87">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row>
    <row r="88">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row>
    <row r="89">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row>
    <row r="90">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row>
    <row r="9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row>
    <row r="9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row>
    <row r="93">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row>
    <row r="94">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row>
    <row r="9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row>
    <row r="96">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row>
    <row r="97">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row>
    <row r="98">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row>
    <row r="99">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c r="AA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c r="AA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c r="AA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c r="AA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c r="AA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c r="AA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c r="AA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c r="AA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c r="AA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c r="AA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c r="AA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c r="AA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c r="AA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c r="AA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c r="AA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c r="AA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c r="AA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c r="AA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c r="AA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c r="AA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c r="AA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c r="AA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c r="AA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c r="AA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c r="AA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c r="AA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c r="AA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c r="AA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c r="AA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c r="AA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c r="AA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c r="AA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c r="AA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c r="AA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c r="AA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c r="AA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c r="AA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c r="AA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c r="AA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c r="AA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c r="AA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c r="AA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c r="AA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c r="AA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c r="AA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c r="AA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c r="AA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c r="AA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c r="AA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c r="AA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c r="AA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c r="AA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c r="AA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c r="AA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c r="AA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c r="AA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c r="AA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c r="AA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c r="AA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c r="AA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c r="AA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c r="AA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c r="AA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c r="AA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c r="AA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c r="AA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c r="AA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c r="AA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c r="AA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c r="AA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c r="AA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c r="AA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c r="AA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c r="AA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c r="AA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c r="AA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c r="AA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c r="AA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c r="AA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c r="AA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c r="AA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c r="AA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c r="AA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c r="AA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c r="AA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c r="AA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c r="AA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c r="AA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c r="AA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c r="AA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c r="AA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c r="AA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c r="AA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c r="AA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c r="AA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c r="AA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c r="AA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c r="AA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c r="AA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c r="AA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c r="AA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c r="AA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c r="AA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c r="AA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c r="AA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c r="AA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c r="AA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c r="AA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c r="AA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c r="AA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c r="AA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c r="AA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c r="AA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c r="AA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c r="AA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c r="AA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c r="AA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c r="AA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c r="AA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c r="AA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c r="AA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c r="AA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c r="AA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c r="AA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c r="AA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c r="AA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c r="AA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c r="AA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c r="AA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c r="AA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c r="AA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c r="AA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c r="AA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c r="AA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c r="AA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c r="AA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c r="AA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c r="AA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c r="AA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c r="AA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c r="AA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c r="AA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c r="AA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c r="AA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c r="AA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c r="AA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c r="AA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c r="AA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c r="AA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c r="AA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c r="AA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c r="AA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c r="AA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c r="AA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c r="AA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c r="AA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c r="AA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c r="AA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c r="AA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c r="AA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c r="AA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c r="AA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c r="AA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c r="AA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c r="AA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c r="AA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c r="AA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c r="AA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c r="AA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c r="AA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c r="AA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c r="AA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c r="AA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c r="AA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c r="AA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c r="AA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c r="AA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c r="AA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c r="AA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c r="AA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c r="AA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c r="AA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c r="AA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c r="AA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c r="AA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c r="AA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c r="AA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c r="AA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c r="AA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c r="AA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c r="AA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c r="AA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c r="AA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c r="AA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c r="AA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c r="AA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c r="AA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c r="AA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c r="AA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c r="AA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c r="AA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c r="AA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c r="AA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c r="AA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c r="AA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c r="AA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c r="AA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c r="AA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c r="AA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c r="AA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c r="AA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c r="AA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c r="AA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c r="AA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c r="AA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c r="AA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c r="AA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c r="AA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c r="AA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c r="AA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c r="AA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c r="AA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c r="AA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c r="AA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c r="AA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c r="AA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c r="AA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c r="AA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c r="AA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c r="AA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c r="AA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c r="AA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c r="AA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c r="AA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c r="AA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c r="AA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c r="AA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c r="AA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c r="AA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c r="AA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c r="AA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c r="AA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c r="AA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c r="AA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c r="AA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c r="AA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c r="AA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c r="AA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c r="AA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c r="AA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c r="AA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c r="AA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c r="AA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c r="AA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c r="AA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c r="AA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c r="AA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c r="AA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c r="AA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c r="AA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c r="AA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c r="AA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c r="AA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c r="AA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c r="AA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c r="AA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c r="AA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c r="AA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c r="AA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c r="AA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c r="AA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c r="AA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c r="AA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c r="AA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c r="AA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c r="AA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c r="AA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c r="AA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c r="AA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c r="AA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c r="AA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c r="AA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c r="AA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c r="AA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c r="AA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c r="AA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c r="AA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c r="AA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c r="AA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c r="AA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c r="AA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c r="AA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c r="AA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c r="AA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c r="AA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c r="AA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c r="AA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c r="AA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c r="AA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c r="AA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c r="AA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c r="AA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c r="AA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c r="AA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c r="AA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c r="AA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c r="AA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c r="AA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c r="AA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c r="AA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c r="AA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c r="AA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c r="AA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c r="AA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c r="AA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c r="AA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c r="AA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c r="AA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c r="AA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c r="AA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c r="AA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c r="AA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c r="AA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c r="AA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c r="AA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c r="AA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c r="AA977" s="24"/>
    </row>
    <row r="97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c r="AA978" s="24"/>
    </row>
    <row r="979">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c r="AA979" s="24"/>
    </row>
    <row r="980">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c r="AA980" s="24"/>
    </row>
    <row r="98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c r="AA981" s="24"/>
    </row>
    <row r="982">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c r="AA982" s="24"/>
    </row>
    <row r="983">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c r="AA983" s="24"/>
    </row>
    <row r="984">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c r="AA984" s="24"/>
    </row>
    <row r="98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c r="AA985" s="24"/>
    </row>
    <row r="986">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c r="AA986" s="24"/>
    </row>
    <row r="987">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c r="AA987" s="24"/>
    </row>
    <row r="988">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c r="AA988" s="24"/>
    </row>
    <row r="989">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c r="AA989" s="24"/>
    </row>
    <row r="990">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c r="AA990" s="24"/>
    </row>
    <row r="99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c r="AA991" s="24"/>
    </row>
    <row r="992">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c r="AA992" s="24"/>
    </row>
    <row r="993">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c r="AA993" s="24"/>
    </row>
    <row r="994">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c r="AA994" s="24"/>
    </row>
    <row r="995">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c r="AA995" s="24"/>
    </row>
    <row r="996">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c r="AA996" s="24"/>
    </row>
    <row r="997">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c r="AA997" s="24"/>
    </row>
    <row r="998">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c r="AA998" s="24"/>
    </row>
    <row r="999">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c r="AA999" s="24"/>
    </row>
    <row r="1000">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c r="AA1000" s="24"/>
    </row>
    <row r="1001">
      <c r="A1001" s="24"/>
      <c r="B1001" s="24"/>
      <c r="C1001" s="24"/>
      <c r="D1001" s="24"/>
      <c r="E1001" s="24"/>
      <c r="F1001" s="24"/>
      <c r="G1001" s="24"/>
      <c r="H1001" s="24"/>
      <c r="I1001" s="24"/>
      <c r="J1001" s="24"/>
      <c r="K1001" s="24"/>
      <c r="L1001" s="24"/>
      <c r="M1001" s="24"/>
      <c r="N1001" s="24"/>
      <c r="O1001" s="24"/>
      <c r="P1001" s="24"/>
      <c r="Q1001" s="24"/>
      <c r="R1001" s="24"/>
      <c r="S1001" s="24"/>
      <c r="T1001" s="24"/>
      <c r="U1001" s="24"/>
      <c r="V1001" s="24"/>
      <c r="W1001" s="24"/>
      <c r="X1001" s="24"/>
      <c r="Y1001" s="24"/>
      <c r="Z1001" s="24"/>
      <c r="AA1001" s="24"/>
    </row>
  </sheetData>
  <mergeCells count="29">
    <mergeCell ref="B1:D2"/>
    <mergeCell ref="B3:D3"/>
    <mergeCell ref="B4:D4"/>
    <mergeCell ref="B5:D5"/>
    <mergeCell ref="A9:A10"/>
    <mergeCell ref="B9:B10"/>
    <mergeCell ref="C9:C10"/>
    <mergeCell ref="D9:F10"/>
    <mergeCell ref="G9:G10"/>
    <mergeCell ref="H9:H10"/>
    <mergeCell ref="I9:I10"/>
    <mergeCell ref="J9:J10"/>
    <mergeCell ref="K9:K10"/>
    <mergeCell ref="L9:L10"/>
    <mergeCell ref="D16:F16"/>
    <mergeCell ref="D18:F18"/>
    <mergeCell ref="D19:F19"/>
    <mergeCell ref="D20:F20"/>
    <mergeCell ref="D21:F21"/>
    <mergeCell ref="D22:F22"/>
    <mergeCell ref="D24:F24"/>
    <mergeCell ref="M9:M10"/>
    <mergeCell ref="F11:M11"/>
    <mergeCell ref="A12:M12"/>
    <mergeCell ref="D13:F13"/>
    <mergeCell ref="A14:M14"/>
    <mergeCell ref="D15:F15"/>
    <mergeCell ref="A17:M17"/>
    <mergeCell ref="A23:M23"/>
  </mergeCells>
  <hyperlinks>
    <hyperlink r:id="rId1" ref="G13"/>
    <hyperlink r:id="rId2" ref="G15"/>
    <hyperlink r:id="rId3" ref="G16"/>
    <hyperlink r:id="rId4" ref="G18"/>
    <hyperlink r:id="rId5" ref="G19"/>
    <hyperlink r:id="rId6" ref="M19"/>
    <hyperlink r:id="rId7" ref="G20"/>
    <hyperlink r:id="rId8" ref="G21"/>
    <hyperlink r:id="rId9" ref="M21"/>
    <hyperlink r:id="rId10" ref="G22"/>
    <hyperlink r:id="rId11" ref="M22"/>
    <hyperlink r:id="rId12" ref="G24"/>
  </hyperlinks>
  <drawing r:id="rId1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63"/>
    <col customWidth="1" min="2" max="2" width="22.13"/>
    <col customWidth="1" min="3" max="3" width="50.88"/>
    <col customWidth="1" min="6" max="6" width="19.0"/>
    <col customWidth="1" min="7" max="7" width="22.63"/>
    <col customWidth="1" min="8" max="8" width="20.13"/>
    <col customWidth="1" min="9" max="9" width="15.5"/>
    <col customWidth="1" min="10" max="10" width="21.38"/>
    <col customWidth="1" min="11" max="12" width="19.88"/>
    <col customWidth="1" min="13" max="13" width="25.63"/>
  </cols>
  <sheetData>
    <row r="1">
      <c r="A1" s="11" t="s">
        <v>3</v>
      </c>
      <c r="B1" s="18"/>
      <c r="E1" s="18"/>
      <c r="F1" s="18"/>
      <c r="G1" s="18"/>
      <c r="H1" s="18"/>
      <c r="I1" s="18"/>
      <c r="J1" s="18"/>
      <c r="K1" s="24"/>
      <c r="L1" s="24"/>
      <c r="M1" s="24"/>
      <c r="N1" s="24"/>
      <c r="O1" s="24"/>
      <c r="P1" s="24"/>
      <c r="Q1" s="24"/>
      <c r="R1" s="24"/>
      <c r="S1" s="24"/>
      <c r="T1" s="24"/>
      <c r="U1" s="24"/>
      <c r="V1" s="24"/>
      <c r="W1" s="24"/>
      <c r="X1" s="24"/>
      <c r="Y1" s="24"/>
      <c r="Z1" s="24"/>
      <c r="AA1" s="24"/>
    </row>
    <row r="2">
      <c r="A2" s="18"/>
      <c r="B2" s="44"/>
      <c r="C2" s="44"/>
      <c r="D2" s="44"/>
      <c r="E2" s="18"/>
      <c r="F2" s="18"/>
      <c r="G2" s="18"/>
      <c r="H2" s="18"/>
      <c r="I2" s="18"/>
      <c r="J2" s="18"/>
      <c r="K2" s="24"/>
      <c r="L2" s="24"/>
      <c r="M2" s="24"/>
      <c r="N2" s="24"/>
      <c r="O2" s="24"/>
      <c r="P2" s="24"/>
      <c r="Q2" s="24"/>
      <c r="R2" s="24"/>
      <c r="S2" s="24"/>
      <c r="T2" s="24"/>
      <c r="U2" s="24"/>
      <c r="V2" s="24"/>
      <c r="W2" s="24"/>
      <c r="X2" s="24"/>
      <c r="Y2" s="24"/>
      <c r="Z2" s="24"/>
      <c r="AA2" s="24"/>
    </row>
    <row r="3">
      <c r="A3" s="56" t="s">
        <v>60</v>
      </c>
      <c r="B3" s="58" t="s">
        <v>63</v>
      </c>
      <c r="C3" s="59"/>
      <c r="D3" s="60"/>
      <c r="E3" s="18"/>
      <c r="F3" s="18"/>
      <c r="G3" s="18"/>
      <c r="H3" s="18"/>
      <c r="I3" s="24"/>
      <c r="J3" s="24"/>
      <c r="K3" s="24"/>
      <c r="L3" s="24"/>
      <c r="M3" s="24"/>
      <c r="N3" s="24"/>
      <c r="O3" s="24"/>
      <c r="P3" s="24"/>
      <c r="Q3" s="24"/>
      <c r="R3" s="24"/>
      <c r="S3" s="24"/>
      <c r="T3" s="24"/>
      <c r="U3" s="24"/>
      <c r="V3" s="24"/>
      <c r="W3" s="24"/>
      <c r="X3" s="24"/>
      <c r="Y3" s="24"/>
      <c r="Z3" s="24"/>
      <c r="AA3" s="24"/>
    </row>
    <row r="4">
      <c r="A4" s="56" t="s">
        <v>69</v>
      </c>
      <c r="B4" s="61" t="s">
        <v>436</v>
      </c>
      <c r="C4" s="59"/>
      <c r="D4" s="60"/>
      <c r="E4" s="18"/>
      <c r="F4" s="18"/>
      <c r="G4" s="18"/>
      <c r="H4" s="18"/>
      <c r="I4" s="24"/>
      <c r="J4" s="24"/>
      <c r="K4" s="24"/>
      <c r="L4" s="24"/>
      <c r="M4" s="24"/>
      <c r="N4" s="24"/>
      <c r="O4" s="24"/>
      <c r="P4" s="24"/>
      <c r="Q4" s="24"/>
      <c r="R4" s="24"/>
      <c r="S4" s="24"/>
      <c r="T4" s="24"/>
      <c r="U4" s="24"/>
      <c r="V4" s="24"/>
      <c r="W4" s="24"/>
      <c r="X4" s="24"/>
      <c r="Y4" s="24"/>
      <c r="Z4" s="24"/>
      <c r="AA4" s="24"/>
    </row>
    <row r="5">
      <c r="A5" s="56" t="s">
        <v>83</v>
      </c>
      <c r="B5" s="58" t="s">
        <v>437</v>
      </c>
      <c r="C5" s="59"/>
      <c r="D5" s="60"/>
      <c r="E5" s="18"/>
      <c r="F5" s="18"/>
      <c r="G5" s="18"/>
      <c r="H5" s="18"/>
      <c r="I5" s="24"/>
      <c r="J5" s="24"/>
      <c r="K5" s="24"/>
      <c r="L5" s="24"/>
      <c r="M5" s="24"/>
      <c r="N5" s="24"/>
      <c r="O5" s="24"/>
      <c r="P5" s="24"/>
      <c r="Q5" s="24"/>
      <c r="R5" s="24"/>
      <c r="S5" s="24"/>
      <c r="T5" s="24"/>
      <c r="U5" s="24"/>
      <c r="V5" s="24"/>
      <c r="W5" s="24"/>
      <c r="X5" s="24"/>
      <c r="Y5" s="24"/>
      <c r="Z5" s="24"/>
      <c r="AA5" s="24"/>
    </row>
    <row r="6">
      <c r="A6" s="69" t="s">
        <v>23</v>
      </c>
      <c r="B6" s="70">
        <v>7.0</v>
      </c>
      <c r="C6" s="72" t="s">
        <v>25</v>
      </c>
      <c r="D6" s="73">
        <v>0.0</v>
      </c>
      <c r="E6" s="18"/>
      <c r="F6" s="18"/>
      <c r="G6" s="18"/>
      <c r="H6" s="18"/>
      <c r="I6" s="24"/>
      <c r="J6" s="24"/>
      <c r="K6" s="24"/>
      <c r="L6" s="24"/>
      <c r="M6" s="24"/>
      <c r="N6" s="24"/>
      <c r="O6" s="24"/>
      <c r="P6" s="24"/>
      <c r="Q6" s="24"/>
      <c r="R6" s="24"/>
      <c r="S6" s="24"/>
      <c r="T6" s="24"/>
      <c r="U6" s="24"/>
      <c r="V6" s="24"/>
      <c r="W6" s="24"/>
      <c r="X6" s="24"/>
      <c r="Y6" s="24"/>
      <c r="Z6" s="24"/>
      <c r="AA6" s="24"/>
    </row>
    <row r="7">
      <c r="A7" s="69" t="s">
        <v>24</v>
      </c>
      <c r="B7" s="70">
        <v>2.0</v>
      </c>
      <c r="C7" s="75" t="s">
        <v>99</v>
      </c>
      <c r="D7" s="73">
        <v>9.0</v>
      </c>
      <c r="E7" s="18"/>
      <c r="F7" s="18"/>
      <c r="G7" s="18"/>
      <c r="H7" s="18"/>
      <c r="I7" s="24"/>
      <c r="J7" s="24"/>
      <c r="K7" s="24"/>
      <c r="L7" s="24"/>
      <c r="M7" s="24"/>
      <c r="N7" s="24"/>
      <c r="O7" s="24"/>
      <c r="P7" s="24"/>
      <c r="Q7" s="24"/>
      <c r="R7" s="24"/>
      <c r="S7" s="24"/>
      <c r="T7" s="24"/>
      <c r="U7" s="24"/>
      <c r="V7" s="24"/>
      <c r="W7" s="24"/>
      <c r="X7" s="24"/>
      <c r="Y7" s="24"/>
      <c r="Z7" s="24"/>
      <c r="AA7" s="24"/>
    </row>
    <row r="8">
      <c r="A8" s="76"/>
      <c r="B8" s="77"/>
      <c r="C8" s="77"/>
      <c r="D8" s="77"/>
      <c r="E8" s="18"/>
      <c r="F8" s="18"/>
      <c r="G8" s="18"/>
      <c r="H8" s="18"/>
      <c r="I8" s="78"/>
      <c r="J8" s="78"/>
      <c r="K8" s="24"/>
      <c r="L8" s="24"/>
      <c r="M8" s="24"/>
      <c r="N8" s="24"/>
      <c r="O8" s="24"/>
      <c r="P8" s="24"/>
      <c r="Q8" s="24"/>
      <c r="R8" s="24"/>
      <c r="S8" s="24"/>
      <c r="T8" s="24"/>
      <c r="U8" s="24"/>
      <c r="V8" s="24"/>
      <c r="W8" s="24"/>
      <c r="X8" s="24"/>
      <c r="Y8" s="24"/>
      <c r="Z8" s="24"/>
      <c r="AA8" s="24"/>
    </row>
    <row r="9">
      <c r="A9" s="79" t="s">
        <v>101</v>
      </c>
      <c r="B9" s="80" t="s">
        <v>102</v>
      </c>
      <c r="C9" s="79" t="s">
        <v>103</v>
      </c>
      <c r="D9" s="81" t="s">
        <v>104</v>
      </c>
      <c r="G9" s="79" t="s">
        <v>106</v>
      </c>
      <c r="H9" s="82" t="s">
        <v>107</v>
      </c>
      <c r="I9" s="82" t="s">
        <v>109</v>
      </c>
      <c r="J9" s="82" t="s">
        <v>110</v>
      </c>
      <c r="K9" s="83" t="s">
        <v>111</v>
      </c>
      <c r="L9" s="82" t="s">
        <v>112</v>
      </c>
      <c r="M9" s="82" t="s">
        <v>113</v>
      </c>
      <c r="N9" s="24"/>
      <c r="O9" s="24"/>
      <c r="P9" s="24"/>
      <c r="Q9" s="24"/>
      <c r="R9" s="24"/>
      <c r="S9" s="24"/>
      <c r="T9" s="24"/>
      <c r="U9" s="24"/>
      <c r="V9" s="24"/>
      <c r="W9" s="24"/>
      <c r="X9" s="24"/>
      <c r="Y9" s="24"/>
      <c r="Z9" s="24"/>
      <c r="AA9" s="24"/>
    </row>
    <row r="10">
      <c r="A10" s="84"/>
      <c r="B10" s="84"/>
      <c r="C10" s="84"/>
      <c r="D10" s="85"/>
      <c r="E10" s="44"/>
      <c r="F10" s="44"/>
      <c r="G10" s="84"/>
      <c r="H10" s="84"/>
      <c r="I10" s="84"/>
      <c r="J10" s="84"/>
      <c r="K10" s="84"/>
      <c r="L10" s="84"/>
      <c r="M10" s="84"/>
      <c r="N10" s="24"/>
      <c r="O10" s="24"/>
      <c r="P10" s="24"/>
      <c r="Q10" s="24"/>
      <c r="R10" s="24"/>
      <c r="S10" s="24"/>
      <c r="T10" s="24"/>
      <c r="U10" s="24"/>
      <c r="V10" s="24"/>
      <c r="W10" s="24"/>
      <c r="X10" s="24"/>
      <c r="Y10" s="24"/>
      <c r="Z10" s="24"/>
      <c r="AA10" s="24"/>
    </row>
    <row r="11">
      <c r="A11" s="86"/>
      <c r="B11" s="77"/>
      <c r="C11" s="59"/>
      <c r="D11" s="59"/>
      <c r="E11" s="59"/>
      <c r="F11" s="59"/>
      <c r="G11" s="59"/>
      <c r="H11" s="59"/>
      <c r="I11" s="59"/>
      <c r="J11" s="59"/>
      <c r="K11" s="59"/>
      <c r="L11" s="59"/>
      <c r="M11" s="59"/>
      <c r="N11" s="24"/>
      <c r="O11" s="24"/>
      <c r="P11" s="24"/>
      <c r="Q11" s="24"/>
      <c r="R11" s="24"/>
      <c r="S11" s="24"/>
      <c r="T11" s="24"/>
      <c r="U11" s="24"/>
      <c r="V11" s="24"/>
      <c r="W11" s="24"/>
      <c r="X11" s="24"/>
      <c r="Y11" s="24"/>
      <c r="Z11" s="24"/>
      <c r="AA11" s="24"/>
    </row>
    <row r="12">
      <c r="A12" s="87" t="s">
        <v>438</v>
      </c>
      <c r="B12" s="59"/>
      <c r="C12" s="59"/>
      <c r="D12" s="59"/>
      <c r="E12" s="59"/>
      <c r="F12" s="59"/>
      <c r="G12" s="59"/>
      <c r="H12" s="59"/>
      <c r="I12" s="59"/>
      <c r="J12" s="59"/>
      <c r="K12" s="59"/>
      <c r="L12" s="59"/>
      <c r="M12" s="60"/>
      <c r="N12" s="24"/>
      <c r="O12" s="24"/>
      <c r="P12" s="24"/>
      <c r="Q12" s="24"/>
      <c r="R12" s="24"/>
      <c r="S12" s="24"/>
      <c r="T12" s="24"/>
      <c r="U12" s="24"/>
      <c r="V12" s="24"/>
      <c r="W12" s="24"/>
      <c r="X12" s="24"/>
      <c r="Y12" s="24"/>
      <c r="Z12" s="24"/>
      <c r="AA12" s="24"/>
    </row>
    <row r="13" ht="196.5" customHeight="1">
      <c r="A13" s="88" t="s">
        <v>439</v>
      </c>
      <c r="B13" s="90" t="s">
        <v>440</v>
      </c>
      <c r="C13" s="91" t="s">
        <v>441</v>
      </c>
      <c r="D13" s="93" t="s">
        <v>442</v>
      </c>
      <c r="E13" s="59"/>
      <c r="F13" s="59"/>
      <c r="G13" s="102" t="s">
        <v>443</v>
      </c>
      <c r="H13" s="103">
        <v>46233.0</v>
      </c>
      <c r="I13" s="88" t="s">
        <v>23</v>
      </c>
      <c r="J13" s="91" t="s">
        <v>444</v>
      </c>
      <c r="K13" s="104"/>
      <c r="L13" s="24"/>
      <c r="M13" s="105"/>
      <c r="N13" s="24"/>
      <c r="O13" s="24"/>
      <c r="P13" s="24"/>
      <c r="Q13" s="24"/>
      <c r="R13" s="24"/>
      <c r="S13" s="24"/>
      <c r="T13" s="24"/>
      <c r="U13" s="24"/>
      <c r="V13" s="24"/>
      <c r="W13" s="24"/>
      <c r="X13" s="24"/>
      <c r="Y13" s="24"/>
      <c r="Z13" s="24"/>
      <c r="AA13" s="24"/>
    </row>
    <row r="14" ht="159.0" customHeight="1">
      <c r="A14" s="88" t="s">
        <v>445</v>
      </c>
      <c r="B14" s="90" t="s">
        <v>446</v>
      </c>
      <c r="C14" s="91" t="s">
        <v>447</v>
      </c>
      <c r="D14" s="93" t="s">
        <v>448</v>
      </c>
      <c r="E14" s="59"/>
      <c r="F14" s="59"/>
      <c r="G14" s="102" t="s">
        <v>449</v>
      </c>
      <c r="H14" s="103">
        <v>46233.0</v>
      </c>
      <c r="I14" s="88" t="s">
        <v>23</v>
      </c>
      <c r="J14" s="91" t="s">
        <v>450</v>
      </c>
      <c r="K14" s="104"/>
      <c r="L14" s="104"/>
      <c r="M14" s="105"/>
      <c r="N14" s="24"/>
      <c r="O14" s="24"/>
      <c r="P14" s="24"/>
      <c r="Q14" s="24"/>
      <c r="R14" s="24"/>
      <c r="S14" s="24"/>
      <c r="T14" s="24"/>
      <c r="U14" s="24"/>
      <c r="V14" s="24"/>
      <c r="W14" s="24"/>
      <c r="X14" s="24"/>
      <c r="Y14" s="24"/>
      <c r="Z14" s="24"/>
      <c r="AA14" s="24"/>
    </row>
    <row r="15" ht="138.75" customHeight="1">
      <c r="A15" s="88" t="s">
        <v>451</v>
      </c>
      <c r="B15" s="90" t="s">
        <v>452</v>
      </c>
      <c r="C15" s="91" t="s">
        <v>453</v>
      </c>
      <c r="D15" s="93" t="s">
        <v>454</v>
      </c>
      <c r="E15" s="59"/>
      <c r="F15" s="59"/>
      <c r="G15" s="102" t="s">
        <v>455</v>
      </c>
      <c r="H15" s="103">
        <v>46233.0</v>
      </c>
      <c r="I15" s="88" t="s">
        <v>23</v>
      </c>
      <c r="J15" s="91" t="s">
        <v>456</v>
      </c>
      <c r="K15" s="104"/>
      <c r="L15" s="104"/>
      <c r="M15" s="105"/>
      <c r="N15" s="24"/>
      <c r="O15" s="24"/>
      <c r="P15" s="24"/>
      <c r="Q15" s="24"/>
      <c r="R15" s="24"/>
      <c r="S15" s="24"/>
      <c r="T15" s="24"/>
      <c r="U15" s="24"/>
      <c r="V15" s="24"/>
      <c r="W15" s="24"/>
      <c r="X15" s="24"/>
      <c r="Y15" s="24"/>
      <c r="Z15" s="24"/>
      <c r="AA15" s="24"/>
    </row>
    <row r="16" ht="210.75" customHeight="1">
      <c r="A16" s="88" t="s">
        <v>457</v>
      </c>
      <c r="B16" s="90" t="s">
        <v>458</v>
      </c>
      <c r="C16" s="91" t="s">
        <v>459</v>
      </c>
      <c r="D16" s="93" t="s">
        <v>460</v>
      </c>
      <c r="E16" s="59"/>
      <c r="F16" s="59"/>
      <c r="G16" s="102" t="s">
        <v>461</v>
      </c>
      <c r="H16" s="103">
        <v>46233.0</v>
      </c>
      <c r="I16" s="88" t="s">
        <v>23</v>
      </c>
      <c r="J16" s="91" t="s">
        <v>462</v>
      </c>
      <c r="K16" s="104"/>
      <c r="L16" s="104"/>
      <c r="M16" s="105"/>
      <c r="N16" s="24"/>
      <c r="O16" s="24"/>
      <c r="P16" s="24"/>
      <c r="Q16" s="24"/>
      <c r="R16" s="24"/>
      <c r="S16" s="24"/>
      <c r="T16" s="24"/>
      <c r="U16" s="24"/>
      <c r="V16" s="24"/>
      <c r="W16" s="24"/>
      <c r="X16" s="24"/>
      <c r="Y16" s="24"/>
      <c r="Z16" s="24"/>
      <c r="AA16" s="24"/>
    </row>
    <row r="17">
      <c r="A17" s="87" t="s">
        <v>463</v>
      </c>
      <c r="B17" s="59"/>
      <c r="C17" s="59"/>
      <c r="D17" s="59"/>
      <c r="E17" s="59"/>
      <c r="F17" s="59"/>
      <c r="G17" s="59"/>
      <c r="H17" s="59"/>
      <c r="I17" s="59"/>
      <c r="J17" s="59"/>
      <c r="K17" s="59"/>
      <c r="L17" s="59"/>
      <c r="M17" s="60"/>
      <c r="N17" s="24"/>
      <c r="O17" s="24"/>
      <c r="P17" s="24"/>
      <c r="Q17" s="24"/>
      <c r="R17" s="24"/>
      <c r="S17" s="24"/>
      <c r="T17" s="24"/>
      <c r="U17" s="24"/>
      <c r="V17" s="24"/>
      <c r="W17" s="24"/>
      <c r="X17" s="24"/>
      <c r="Y17" s="24"/>
      <c r="Z17" s="24"/>
      <c r="AA17" s="24"/>
    </row>
    <row r="18" ht="157.5" customHeight="1">
      <c r="A18" s="88" t="s">
        <v>464</v>
      </c>
      <c r="B18" s="90" t="s">
        <v>465</v>
      </c>
      <c r="C18" s="91" t="s">
        <v>466</v>
      </c>
      <c r="D18" s="93" t="s">
        <v>467</v>
      </c>
      <c r="E18" s="59"/>
      <c r="F18" s="59"/>
      <c r="G18" s="102" t="s">
        <v>468</v>
      </c>
      <c r="H18" s="103">
        <v>46233.0</v>
      </c>
      <c r="I18" s="88" t="s">
        <v>23</v>
      </c>
      <c r="J18" s="91" t="s">
        <v>469</v>
      </c>
      <c r="K18" s="103"/>
      <c r="L18" s="88"/>
      <c r="M18" s="126"/>
      <c r="N18" s="24"/>
      <c r="O18" s="24"/>
      <c r="P18" s="24"/>
      <c r="Q18" s="24"/>
      <c r="R18" s="24"/>
      <c r="S18" s="24"/>
      <c r="T18" s="24"/>
      <c r="U18" s="24"/>
      <c r="V18" s="24"/>
      <c r="W18" s="24"/>
      <c r="X18" s="24"/>
      <c r="Y18" s="24"/>
      <c r="Z18" s="24"/>
      <c r="AA18" s="24"/>
    </row>
    <row r="19">
      <c r="A19" s="87" t="s">
        <v>470</v>
      </c>
      <c r="B19" s="59"/>
      <c r="C19" s="59"/>
      <c r="D19" s="59"/>
      <c r="E19" s="59"/>
      <c r="F19" s="59"/>
      <c r="G19" s="59"/>
      <c r="H19" s="59"/>
      <c r="I19" s="59"/>
      <c r="J19" s="59"/>
      <c r="K19" s="59"/>
      <c r="L19" s="59"/>
      <c r="M19" s="60"/>
      <c r="N19" s="24"/>
      <c r="O19" s="24"/>
      <c r="P19" s="24"/>
      <c r="Q19" s="24"/>
      <c r="R19" s="24"/>
      <c r="S19" s="24"/>
      <c r="T19" s="24"/>
      <c r="U19" s="24"/>
      <c r="V19" s="24"/>
      <c r="W19" s="24"/>
      <c r="X19" s="24"/>
      <c r="Y19" s="24"/>
      <c r="Z19" s="24"/>
      <c r="AA19" s="24"/>
    </row>
    <row r="20" ht="186.75" customHeight="1">
      <c r="A20" s="88" t="s">
        <v>471</v>
      </c>
      <c r="B20" s="90" t="s">
        <v>472</v>
      </c>
      <c r="C20" s="91" t="s">
        <v>473</v>
      </c>
      <c r="D20" s="93" t="s">
        <v>474</v>
      </c>
      <c r="E20" s="59"/>
      <c r="F20" s="59"/>
      <c r="G20" s="130" t="s">
        <v>475</v>
      </c>
      <c r="H20" s="103">
        <v>46233.0</v>
      </c>
      <c r="I20" s="88" t="s">
        <v>23</v>
      </c>
      <c r="J20" s="91" t="s">
        <v>476</v>
      </c>
      <c r="K20" s="104"/>
      <c r="L20" s="104"/>
      <c r="M20" s="105"/>
      <c r="N20" s="24"/>
      <c r="O20" s="24"/>
      <c r="P20" s="24"/>
      <c r="Q20" s="24"/>
      <c r="R20" s="24"/>
      <c r="S20" s="24"/>
      <c r="T20" s="24"/>
      <c r="U20" s="24"/>
      <c r="V20" s="24"/>
      <c r="W20" s="24"/>
      <c r="X20" s="24"/>
      <c r="Y20" s="24"/>
      <c r="Z20" s="24"/>
      <c r="AA20" s="24"/>
    </row>
    <row r="21" ht="156.0" customHeight="1">
      <c r="A21" s="88" t="s">
        <v>477</v>
      </c>
      <c r="B21" s="90" t="s">
        <v>478</v>
      </c>
      <c r="C21" s="91" t="s">
        <v>479</v>
      </c>
      <c r="D21" s="93" t="s">
        <v>480</v>
      </c>
      <c r="E21" s="59"/>
      <c r="F21" s="59"/>
      <c r="G21" s="102" t="s">
        <v>481</v>
      </c>
      <c r="H21" s="103">
        <v>46233.0</v>
      </c>
      <c r="I21" s="88" t="s">
        <v>24</v>
      </c>
      <c r="J21" s="91" t="s">
        <v>482</v>
      </c>
      <c r="K21" s="103">
        <v>46234.0</v>
      </c>
      <c r="L21" s="88" t="s">
        <v>23</v>
      </c>
      <c r="M21" s="125" t="s">
        <v>483</v>
      </c>
      <c r="N21" s="24"/>
      <c r="O21" s="24"/>
      <c r="P21" s="24"/>
      <c r="Q21" s="24"/>
      <c r="R21" s="24"/>
      <c r="S21" s="24"/>
      <c r="T21" s="24"/>
      <c r="U21" s="24"/>
      <c r="V21" s="24"/>
      <c r="W21" s="24"/>
      <c r="X21" s="24"/>
      <c r="Y21" s="24"/>
      <c r="Z21" s="24"/>
      <c r="AA21" s="24"/>
    </row>
    <row r="22" ht="165.75" customHeight="1">
      <c r="A22" s="88" t="s">
        <v>484</v>
      </c>
      <c r="B22" s="90" t="s">
        <v>485</v>
      </c>
      <c r="C22" s="91" t="s">
        <v>486</v>
      </c>
      <c r="D22" s="93" t="s">
        <v>487</v>
      </c>
      <c r="E22" s="59"/>
      <c r="F22" s="59"/>
      <c r="G22" s="102" t="s">
        <v>488</v>
      </c>
      <c r="H22" s="103">
        <v>46233.0</v>
      </c>
      <c r="I22" s="88" t="s">
        <v>24</v>
      </c>
      <c r="J22" s="91" t="s">
        <v>489</v>
      </c>
      <c r="K22" s="103">
        <v>46234.0</v>
      </c>
      <c r="L22" s="88" t="s">
        <v>23</v>
      </c>
      <c r="M22" s="125" t="s">
        <v>490</v>
      </c>
      <c r="N22" s="24"/>
      <c r="O22" s="24"/>
      <c r="P22" s="24"/>
      <c r="Q22" s="24"/>
      <c r="R22" s="24"/>
      <c r="S22" s="24"/>
      <c r="T22" s="24"/>
      <c r="U22" s="24"/>
      <c r="V22" s="24"/>
      <c r="W22" s="24"/>
      <c r="X22" s="24"/>
      <c r="Y22" s="24"/>
      <c r="Z22" s="24"/>
      <c r="AA22" s="24"/>
    </row>
    <row r="23" ht="168.75" customHeight="1">
      <c r="A23" s="88" t="s">
        <v>491</v>
      </c>
      <c r="B23" s="90" t="s">
        <v>492</v>
      </c>
      <c r="C23" s="91" t="s">
        <v>493</v>
      </c>
      <c r="D23" s="93" t="s">
        <v>494</v>
      </c>
      <c r="E23" s="59"/>
      <c r="F23" s="59"/>
      <c r="G23" s="102" t="s">
        <v>495</v>
      </c>
      <c r="H23" s="103">
        <v>46233.0</v>
      </c>
      <c r="I23" s="88" t="s">
        <v>23</v>
      </c>
      <c r="J23" s="91" t="s">
        <v>496</v>
      </c>
      <c r="K23" s="103"/>
      <c r="L23" s="88"/>
      <c r="M23" s="126"/>
      <c r="N23" s="24"/>
      <c r="O23" s="24"/>
      <c r="P23" s="24"/>
      <c r="Q23" s="24"/>
      <c r="R23" s="24"/>
      <c r="S23" s="24"/>
      <c r="T23" s="24"/>
      <c r="U23" s="24"/>
      <c r="V23" s="24"/>
      <c r="W23" s="24"/>
      <c r="X23" s="24"/>
      <c r="Y23" s="24"/>
      <c r="Z23" s="24"/>
      <c r="AA23" s="24"/>
    </row>
    <row r="24" ht="126.0" customHeight="1">
      <c r="A24" s="131"/>
      <c r="B24" s="132"/>
      <c r="C24" s="127"/>
      <c r="D24" s="127"/>
      <c r="E24" s="127"/>
      <c r="F24" s="127"/>
      <c r="G24" s="127"/>
      <c r="H24" s="133"/>
      <c r="I24" s="131"/>
      <c r="J24" s="127"/>
      <c r="K24" s="133"/>
      <c r="L24" s="131"/>
      <c r="M24" s="134"/>
      <c r="N24" s="24"/>
      <c r="O24" s="24"/>
      <c r="P24" s="24"/>
      <c r="Q24" s="24"/>
      <c r="R24" s="24"/>
      <c r="S24" s="24"/>
      <c r="T24" s="24"/>
      <c r="U24" s="24"/>
      <c r="V24" s="24"/>
      <c r="W24" s="24"/>
      <c r="X24" s="24"/>
      <c r="Y24" s="24"/>
      <c r="Z24" s="24"/>
      <c r="AA24" s="24"/>
    </row>
    <row r="25">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row>
    <row r="26">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row>
    <row r="27">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row>
    <row r="28">
      <c r="A28" s="24"/>
      <c r="B28" s="127"/>
      <c r="C28" s="24"/>
      <c r="D28" s="24"/>
      <c r="E28" s="24"/>
      <c r="F28" s="24"/>
      <c r="G28" s="24"/>
      <c r="H28" s="24"/>
      <c r="I28" s="24"/>
      <c r="J28" s="24"/>
      <c r="K28" s="24"/>
      <c r="L28" s="24"/>
      <c r="M28" s="24"/>
      <c r="N28" s="24"/>
      <c r="O28" s="24"/>
      <c r="P28" s="24"/>
      <c r="Q28" s="24"/>
      <c r="R28" s="24"/>
      <c r="S28" s="24"/>
      <c r="T28" s="24"/>
      <c r="U28" s="24"/>
      <c r="V28" s="24"/>
      <c r="W28" s="24"/>
      <c r="X28" s="24"/>
      <c r="Y28" s="24"/>
      <c r="Z28" s="24"/>
      <c r="AA28" s="24"/>
    </row>
    <row r="29">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row>
    <row r="30">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c r="AA30" s="24"/>
    </row>
    <row r="3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row>
    <row r="32">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row>
    <row r="33">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row>
    <row r="34">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row>
    <row r="35">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row>
    <row r="36">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row>
    <row r="37">
      <c r="A37" s="24"/>
      <c r="B37" s="24"/>
      <c r="C37" s="24"/>
      <c r="D37" s="24"/>
      <c r="E37" s="24"/>
      <c r="F37" s="128"/>
      <c r="G37" s="24"/>
      <c r="H37" s="24"/>
      <c r="I37" s="24"/>
      <c r="J37" s="24"/>
      <c r="K37" s="24"/>
      <c r="L37" s="24"/>
      <c r="M37" s="24"/>
      <c r="N37" s="24"/>
      <c r="O37" s="24"/>
      <c r="P37" s="24"/>
      <c r="Q37" s="24"/>
      <c r="R37" s="24"/>
      <c r="S37" s="24"/>
      <c r="T37" s="24"/>
      <c r="U37" s="24"/>
      <c r="V37" s="24"/>
      <c r="W37" s="24"/>
      <c r="X37" s="24"/>
      <c r="Y37" s="24"/>
      <c r="Z37" s="24"/>
      <c r="AA37" s="24"/>
    </row>
    <row r="38">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row>
    <row r="39">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row>
    <row r="40">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row>
    <row r="4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row>
    <row r="42">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row>
    <row r="43">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row>
    <row r="44">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row>
    <row r="4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row>
    <row r="46">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row>
    <row r="47">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row>
    <row r="48">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row>
    <row r="49">
      <c r="A49" s="24"/>
      <c r="B49" s="24"/>
      <c r="C49" s="24"/>
      <c r="D49" s="24"/>
      <c r="E49" s="24"/>
      <c r="F49" s="24"/>
      <c r="G49" s="127"/>
      <c r="H49" s="24"/>
      <c r="I49" s="24"/>
      <c r="J49" s="24"/>
      <c r="K49" s="24"/>
      <c r="L49" s="24"/>
      <c r="M49" s="24"/>
      <c r="N49" s="24"/>
      <c r="O49" s="24"/>
      <c r="P49" s="24"/>
      <c r="Q49" s="24"/>
      <c r="R49" s="24"/>
      <c r="S49" s="24"/>
      <c r="T49" s="24"/>
      <c r="U49" s="24"/>
      <c r="V49" s="24"/>
      <c r="W49" s="24"/>
      <c r="X49" s="24"/>
      <c r="Y49" s="24"/>
      <c r="Z49" s="24"/>
      <c r="AA49" s="24"/>
    </row>
    <row r="50">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row>
    <row r="5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row>
    <row r="52">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row>
    <row r="53">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row>
    <row r="54">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row>
    <row r="5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row>
    <row r="56">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row>
    <row r="57">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row>
    <row r="58">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row>
    <row r="59">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row>
    <row r="60">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row>
    <row r="6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row>
    <row r="62">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row>
    <row r="63">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row>
    <row r="64">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row>
    <row r="6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row>
    <row r="66">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row>
    <row r="67">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row>
    <row r="68">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row>
    <row r="69">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row>
    <row r="70">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row>
    <row r="7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row>
    <row r="72">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row>
    <row r="73">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row>
    <row r="74">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row>
    <row r="7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row>
    <row r="76">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row>
    <row r="77">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row>
    <row r="78">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row>
    <row r="79">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row>
    <row r="80">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row>
    <row r="8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row>
    <row r="82">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row>
    <row r="83">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row>
    <row r="84">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row>
    <row r="8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row>
    <row r="86">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row>
    <row r="87">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row>
    <row r="88">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row>
    <row r="89">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row>
    <row r="90">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row>
    <row r="9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row>
    <row r="9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row>
    <row r="93">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row>
    <row r="94">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row>
    <row r="9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row>
    <row r="96">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row>
    <row r="97">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row>
    <row r="98">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row>
    <row r="99">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c r="AA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c r="AA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c r="AA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c r="AA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c r="AA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c r="AA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c r="AA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c r="AA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c r="AA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c r="AA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c r="AA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c r="AA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c r="AA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c r="AA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c r="AA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c r="AA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c r="AA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c r="AA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c r="AA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c r="AA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c r="AA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c r="AA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c r="AA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c r="AA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c r="AA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c r="AA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c r="AA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c r="AA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c r="AA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c r="AA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c r="AA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c r="AA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c r="AA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c r="AA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c r="AA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c r="AA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c r="AA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c r="AA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c r="AA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c r="AA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c r="AA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c r="AA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c r="AA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c r="AA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c r="AA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c r="AA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c r="AA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c r="AA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c r="AA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c r="AA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c r="AA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c r="AA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c r="AA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c r="AA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c r="AA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c r="AA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c r="AA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c r="AA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c r="AA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c r="AA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c r="AA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c r="AA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c r="AA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c r="AA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c r="AA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c r="AA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c r="AA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c r="AA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c r="AA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c r="AA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c r="AA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c r="AA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c r="AA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c r="AA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c r="AA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c r="AA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c r="AA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c r="AA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c r="AA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c r="AA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c r="AA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c r="AA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c r="AA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c r="AA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c r="AA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c r="AA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c r="AA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c r="AA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c r="AA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c r="AA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c r="AA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c r="AA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c r="AA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c r="AA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c r="AA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c r="AA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c r="AA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c r="AA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c r="AA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c r="AA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c r="AA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c r="AA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c r="AA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c r="AA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c r="AA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c r="AA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c r="AA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c r="AA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c r="AA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c r="AA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c r="AA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c r="AA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c r="AA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c r="AA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c r="AA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c r="AA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c r="AA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c r="AA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c r="AA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c r="AA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c r="AA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c r="AA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c r="AA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c r="AA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c r="AA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c r="AA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c r="AA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c r="AA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c r="AA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c r="AA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c r="AA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c r="AA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c r="AA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c r="AA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c r="AA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c r="AA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c r="AA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c r="AA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c r="AA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c r="AA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c r="AA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c r="AA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c r="AA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c r="AA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c r="AA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c r="AA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c r="AA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c r="AA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c r="AA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c r="AA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c r="AA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c r="AA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c r="AA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c r="AA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c r="AA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c r="AA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c r="AA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c r="AA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c r="AA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c r="AA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c r="AA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c r="AA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c r="AA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c r="AA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c r="AA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c r="AA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c r="AA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c r="AA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c r="AA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c r="AA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c r="AA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c r="AA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c r="AA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c r="AA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c r="AA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c r="AA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c r="AA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c r="AA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c r="AA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c r="AA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c r="AA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c r="AA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c r="AA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c r="AA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c r="AA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c r="AA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c r="AA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c r="AA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c r="AA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c r="AA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c r="AA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c r="AA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c r="AA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c r="AA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c r="AA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c r="AA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c r="AA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c r="AA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c r="AA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c r="AA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c r="AA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c r="AA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c r="AA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c r="AA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c r="AA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c r="AA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c r="AA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c r="AA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c r="AA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c r="AA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c r="AA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c r="AA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c r="AA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c r="AA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c r="AA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c r="AA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c r="AA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c r="AA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c r="AA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c r="AA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c r="AA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c r="AA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c r="AA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c r="AA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c r="AA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c r="AA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c r="AA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c r="AA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c r="AA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c r="AA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c r="AA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c r="AA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c r="AA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c r="AA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c r="AA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c r="AA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c r="AA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c r="AA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c r="AA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c r="AA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c r="AA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c r="AA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c r="AA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c r="AA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c r="AA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c r="AA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c r="AA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c r="AA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c r="AA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c r="AA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c r="AA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c r="AA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c r="AA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c r="AA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c r="AA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c r="AA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c r="AA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c r="AA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c r="AA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c r="AA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c r="AA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c r="AA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c r="AA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c r="AA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c r="AA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c r="AA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c r="AA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c r="AA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c r="AA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c r="AA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c r="AA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c r="AA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c r="AA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c r="AA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c r="AA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c r="AA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c r="AA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c r="AA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c r="AA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c r="AA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c r="AA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c r="AA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c r="AA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c r="AA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c r="AA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c r="AA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c r="AA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c r="AA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c r="AA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c r="AA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c r="AA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c r="AA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c r="AA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c r="AA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c r="AA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c r="AA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c r="AA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c r="AA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c r="AA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c r="AA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c r="AA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c r="AA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c r="AA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c r="AA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c r="AA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c r="AA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c r="AA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c r="AA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c r="AA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c r="AA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c r="AA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c r="AA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c r="AA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c r="AA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c r="AA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c r="AA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c r="AA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c r="AA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c r="AA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c r="AA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c r="AA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c r="AA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c r="AA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c r="AA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c r="AA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c r="AA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c r="AA977" s="24"/>
    </row>
    <row r="97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c r="AA978" s="24"/>
    </row>
    <row r="979">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c r="AA979" s="24"/>
    </row>
    <row r="980">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c r="AA980" s="24"/>
    </row>
    <row r="98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c r="AA981" s="24"/>
    </row>
    <row r="982">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c r="AA982" s="24"/>
    </row>
    <row r="983">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c r="AA983" s="24"/>
    </row>
    <row r="984">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c r="AA984" s="24"/>
    </row>
    <row r="98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c r="AA985" s="24"/>
    </row>
    <row r="986">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c r="AA986" s="24"/>
    </row>
    <row r="987">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c r="AA987" s="24"/>
    </row>
    <row r="988">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c r="AA988" s="24"/>
    </row>
    <row r="989">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c r="AA989" s="24"/>
    </row>
    <row r="990">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c r="AA990" s="24"/>
    </row>
    <row r="99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c r="AA991" s="24"/>
    </row>
    <row r="992">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c r="AA992" s="24"/>
    </row>
    <row r="993">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c r="AA993" s="24"/>
    </row>
    <row r="994">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c r="AA994" s="24"/>
    </row>
    <row r="995">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c r="AA995" s="24"/>
    </row>
    <row r="996">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c r="AA996" s="24"/>
    </row>
    <row r="997">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c r="AA997" s="24"/>
    </row>
    <row r="998">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c r="AA998" s="24"/>
    </row>
    <row r="999">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c r="AA999" s="24"/>
    </row>
    <row r="1000">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c r="AA1000" s="24"/>
    </row>
    <row r="1001">
      <c r="A1001" s="24"/>
      <c r="B1001" s="24"/>
      <c r="C1001" s="24"/>
      <c r="D1001" s="24"/>
      <c r="E1001" s="24"/>
      <c r="F1001" s="24"/>
      <c r="G1001" s="24"/>
      <c r="H1001" s="24"/>
      <c r="I1001" s="24"/>
      <c r="J1001" s="24"/>
      <c r="K1001" s="24"/>
      <c r="L1001" s="24"/>
      <c r="M1001" s="24"/>
      <c r="N1001" s="24"/>
      <c r="O1001" s="24"/>
      <c r="P1001" s="24"/>
      <c r="Q1001" s="24"/>
      <c r="R1001" s="24"/>
      <c r="S1001" s="24"/>
      <c r="T1001" s="24"/>
      <c r="U1001" s="24"/>
      <c r="V1001" s="24"/>
      <c r="W1001" s="24"/>
      <c r="X1001" s="24"/>
      <c r="Y1001" s="24"/>
      <c r="Z1001" s="24"/>
      <c r="AA1001" s="24"/>
    </row>
  </sheetData>
  <mergeCells count="28">
    <mergeCell ref="B1:D2"/>
    <mergeCell ref="B3:D3"/>
    <mergeCell ref="B4:D4"/>
    <mergeCell ref="B5:D5"/>
    <mergeCell ref="A9:A10"/>
    <mergeCell ref="B9:B10"/>
    <mergeCell ref="C9:C10"/>
    <mergeCell ref="G9:G10"/>
    <mergeCell ref="H9:H10"/>
    <mergeCell ref="I9:I10"/>
    <mergeCell ref="J9:J10"/>
    <mergeCell ref="K9:K10"/>
    <mergeCell ref="L9:L10"/>
    <mergeCell ref="M9:M10"/>
    <mergeCell ref="D16:F16"/>
    <mergeCell ref="D18:F18"/>
    <mergeCell ref="D20:F20"/>
    <mergeCell ref="D21:F21"/>
    <mergeCell ref="D22:F22"/>
    <mergeCell ref="D23:F23"/>
    <mergeCell ref="D9:F10"/>
    <mergeCell ref="B11:M11"/>
    <mergeCell ref="A12:M12"/>
    <mergeCell ref="D13:F13"/>
    <mergeCell ref="D14:F14"/>
    <mergeCell ref="D15:F15"/>
    <mergeCell ref="A17:M17"/>
    <mergeCell ref="A19:M19"/>
  </mergeCells>
  <hyperlinks>
    <hyperlink r:id="rId1" ref="G13"/>
    <hyperlink r:id="rId2" ref="G14"/>
    <hyperlink r:id="rId3" ref="G15"/>
    <hyperlink r:id="rId4" ref="G16"/>
    <hyperlink r:id="rId5" ref="G18"/>
    <hyperlink r:id="rId6" ref="G20"/>
    <hyperlink r:id="rId7" ref="G21"/>
    <hyperlink r:id="rId8" ref="M21"/>
    <hyperlink r:id="rId9" ref="G22"/>
    <hyperlink r:id="rId10" ref="M22"/>
    <hyperlink r:id="rId11" ref="G23"/>
  </hyperlinks>
  <drawing r:id="rId1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63"/>
    <col customWidth="1" min="2" max="2" width="22.13"/>
    <col customWidth="1" min="3" max="3" width="46.75"/>
    <col customWidth="1" min="6" max="6" width="19.0"/>
    <col customWidth="1" min="7" max="7" width="22.63"/>
    <col customWidth="1" min="8" max="8" width="20.13"/>
    <col customWidth="1" min="9" max="9" width="15.5"/>
    <col customWidth="1" min="10" max="10" width="21.38"/>
    <col customWidth="1" min="11" max="12" width="19.88"/>
    <col customWidth="1" min="13" max="13" width="24.63"/>
  </cols>
  <sheetData>
    <row r="1">
      <c r="A1" s="11" t="s">
        <v>3</v>
      </c>
      <c r="B1" s="18"/>
      <c r="E1" s="18"/>
      <c r="F1" s="18"/>
      <c r="G1" s="18"/>
      <c r="H1" s="18"/>
      <c r="I1" s="18"/>
      <c r="J1" s="18"/>
      <c r="K1" s="24"/>
      <c r="L1" s="24"/>
      <c r="M1" s="24"/>
      <c r="N1" s="24"/>
      <c r="O1" s="24"/>
      <c r="P1" s="24"/>
      <c r="Q1" s="24"/>
      <c r="R1" s="24"/>
      <c r="S1" s="24"/>
      <c r="T1" s="24"/>
      <c r="U1" s="24"/>
      <c r="V1" s="24"/>
      <c r="W1" s="24"/>
      <c r="X1" s="24"/>
      <c r="Y1" s="24"/>
      <c r="Z1" s="24"/>
      <c r="AA1" s="24"/>
    </row>
    <row r="2">
      <c r="A2" s="18"/>
      <c r="B2" s="44"/>
      <c r="C2" s="44"/>
      <c r="D2" s="44"/>
      <c r="E2" s="18"/>
      <c r="F2" s="18"/>
      <c r="G2" s="18"/>
      <c r="H2" s="18"/>
      <c r="I2" s="18"/>
      <c r="J2" s="18"/>
      <c r="K2" s="24"/>
      <c r="L2" s="24"/>
      <c r="M2" s="24"/>
      <c r="N2" s="24"/>
      <c r="O2" s="24"/>
      <c r="P2" s="24"/>
      <c r="Q2" s="24"/>
      <c r="R2" s="24"/>
      <c r="S2" s="24"/>
      <c r="T2" s="24"/>
      <c r="U2" s="24"/>
      <c r="V2" s="24"/>
      <c r="W2" s="24"/>
      <c r="X2" s="24"/>
      <c r="Y2" s="24"/>
      <c r="Z2" s="24"/>
      <c r="AA2" s="24"/>
    </row>
    <row r="3">
      <c r="A3" s="56" t="s">
        <v>60</v>
      </c>
      <c r="B3" s="58" t="s">
        <v>63</v>
      </c>
      <c r="C3" s="59"/>
      <c r="D3" s="60"/>
      <c r="E3" s="18"/>
      <c r="F3" s="18"/>
      <c r="G3" s="18"/>
      <c r="H3" s="18"/>
      <c r="I3" s="24"/>
      <c r="J3" s="24"/>
      <c r="K3" s="24"/>
      <c r="L3" s="24"/>
      <c r="M3" s="24"/>
      <c r="N3" s="24"/>
      <c r="O3" s="24"/>
      <c r="P3" s="24"/>
      <c r="Q3" s="24"/>
      <c r="R3" s="24"/>
      <c r="S3" s="24"/>
      <c r="T3" s="24"/>
      <c r="U3" s="24"/>
      <c r="V3" s="24"/>
      <c r="W3" s="24"/>
      <c r="X3" s="24"/>
      <c r="Y3" s="24"/>
      <c r="Z3" s="24"/>
      <c r="AA3" s="24"/>
    </row>
    <row r="4">
      <c r="A4" s="56" t="s">
        <v>69</v>
      </c>
      <c r="B4" s="61" t="s">
        <v>497</v>
      </c>
      <c r="C4" s="59"/>
      <c r="D4" s="60"/>
      <c r="E4" s="18"/>
      <c r="F4" s="18"/>
      <c r="G4" s="18"/>
      <c r="H4" s="18"/>
      <c r="I4" s="24"/>
      <c r="J4" s="24"/>
      <c r="K4" s="24"/>
      <c r="L4" s="24"/>
      <c r="M4" s="24"/>
      <c r="N4" s="24"/>
      <c r="O4" s="24"/>
      <c r="P4" s="24"/>
      <c r="Q4" s="24"/>
      <c r="R4" s="24"/>
      <c r="S4" s="24"/>
      <c r="T4" s="24"/>
      <c r="U4" s="24"/>
      <c r="V4" s="24"/>
      <c r="W4" s="24"/>
      <c r="X4" s="24"/>
      <c r="Y4" s="24"/>
      <c r="Z4" s="24"/>
      <c r="AA4" s="24"/>
    </row>
    <row r="5">
      <c r="A5" s="56" t="s">
        <v>83</v>
      </c>
      <c r="B5" s="58" t="s">
        <v>498</v>
      </c>
      <c r="C5" s="59"/>
      <c r="D5" s="60"/>
      <c r="E5" s="18"/>
      <c r="F5" s="18"/>
      <c r="G5" s="18"/>
      <c r="H5" s="18"/>
      <c r="I5" s="24"/>
      <c r="J5" s="24"/>
      <c r="K5" s="24"/>
      <c r="L5" s="24"/>
      <c r="M5" s="24"/>
      <c r="N5" s="24"/>
      <c r="O5" s="24"/>
      <c r="P5" s="24"/>
      <c r="Q5" s="24"/>
      <c r="R5" s="24"/>
      <c r="S5" s="24"/>
      <c r="T5" s="24"/>
      <c r="U5" s="24"/>
      <c r="V5" s="24"/>
      <c r="W5" s="24"/>
      <c r="X5" s="24"/>
      <c r="Y5" s="24"/>
      <c r="Z5" s="24"/>
      <c r="AA5" s="24"/>
    </row>
    <row r="6">
      <c r="A6" s="69" t="s">
        <v>23</v>
      </c>
      <c r="B6" s="70">
        <v>13.0</v>
      </c>
      <c r="C6" s="72" t="s">
        <v>25</v>
      </c>
      <c r="D6" s="73">
        <v>0.0</v>
      </c>
      <c r="E6" s="18"/>
      <c r="F6" s="18"/>
      <c r="G6" s="18"/>
      <c r="H6" s="18"/>
      <c r="I6" s="24"/>
      <c r="J6" s="24"/>
      <c r="K6" s="24"/>
      <c r="L6" s="24"/>
      <c r="M6" s="24"/>
      <c r="N6" s="24"/>
      <c r="O6" s="24"/>
      <c r="P6" s="24"/>
      <c r="Q6" s="24"/>
      <c r="R6" s="24"/>
      <c r="S6" s="24"/>
      <c r="T6" s="24"/>
      <c r="U6" s="24"/>
      <c r="V6" s="24"/>
      <c r="W6" s="24"/>
      <c r="X6" s="24"/>
      <c r="Y6" s="24"/>
      <c r="Z6" s="24"/>
      <c r="AA6" s="24"/>
    </row>
    <row r="7">
      <c r="A7" s="69" t="s">
        <v>24</v>
      </c>
      <c r="B7" s="70">
        <v>7.0</v>
      </c>
      <c r="C7" s="75" t="s">
        <v>99</v>
      </c>
      <c r="D7" s="73">
        <v>20.0</v>
      </c>
      <c r="E7" s="18"/>
      <c r="F7" s="18"/>
      <c r="G7" s="18"/>
      <c r="H7" s="18"/>
      <c r="I7" s="24"/>
      <c r="J7" s="24"/>
      <c r="K7" s="24"/>
      <c r="L7" s="24"/>
      <c r="M7" s="24"/>
      <c r="N7" s="24"/>
      <c r="O7" s="24"/>
      <c r="P7" s="24"/>
      <c r="Q7" s="24"/>
      <c r="R7" s="24"/>
      <c r="S7" s="24"/>
      <c r="T7" s="24"/>
      <c r="U7" s="24"/>
      <c r="V7" s="24"/>
      <c r="W7" s="24"/>
      <c r="X7" s="24"/>
      <c r="Y7" s="24"/>
      <c r="Z7" s="24"/>
      <c r="AA7" s="24"/>
    </row>
    <row r="8">
      <c r="A8" s="76"/>
      <c r="B8" s="77"/>
      <c r="C8" s="77"/>
      <c r="D8" s="77"/>
      <c r="E8" s="18"/>
      <c r="F8" s="18"/>
      <c r="G8" s="18"/>
      <c r="H8" s="18"/>
      <c r="I8" s="78"/>
      <c r="J8" s="78"/>
      <c r="K8" s="24"/>
      <c r="L8" s="24"/>
      <c r="M8" s="24"/>
      <c r="N8" s="24"/>
      <c r="O8" s="24"/>
      <c r="P8" s="24"/>
      <c r="Q8" s="24"/>
      <c r="R8" s="24"/>
      <c r="S8" s="24"/>
      <c r="T8" s="24"/>
      <c r="U8" s="24"/>
      <c r="V8" s="24"/>
      <c r="W8" s="24"/>
      <c r="X8" s="24"/>
      <c r="Y8" s="24"/>
      <c r="Z8" s="24"/>
      <c r="AA8" s="24"/>
    </row>
    <row r="9">
      <c r="A9" s="79" t="s">
        <v>101</v>
      </c>
      <c r="B9" s="80" t="s">
        <v>102</v>
      </c>
      <c r="C9" s="79" t="s">
        <v>103</v>
      </c>
      <c r="D9" s="81" t="s">
        <v>104</v>
      </c>
      <c r="G9" s="79" t="s">
        <v>106</v>
      </c>
      <c r="H9" s="82" t="s">
        <v>107</v>
      </c>
      <c r="I9" s="82" t="s">
        <v>109</v>
      </c>
      <c r="J9" s="82" t="s">
        <v>110</v>
      </c>
      <c r="K9" s="83" t="s">
        <v>111</v>
      </c>
      <c r="L9" s="82" t="s">
        <v>112</v>
      </c>
      <c r="M9" s="82" t="s">
        <v>113</v>
      </c>
      <c r="N9" s="24"/>
      <c r="O9" s="24"/>
      <c r="P9" s="24"/>
      <c r="Q9" s="24"/>
      <c r="R9" s="24"/>
      <c r="S9" s="24"/>
      <c r="T9" s="24"/>
      <c r="U9" s="24"/>
      <c r="V9" s="24"/>
      <c r="W9" s="24"/>
      <c r="X9" s="24"/>
      <c r="Y9" s="24"/>
      <c r="Z9" s="24"/>
      <c r="AA9" s="24"/>
    </row>
    <row r="10">
      <c r="A10" s="84"/>
      <c r="B10" s="84"/>
      <c r="C10" s="84"/>
      <c r="D10" s="85"/>
      <c r="E10" s="44"/>
      <c r="F10" s="44"/>
      <c r="G10" s="84"/>
      <c r="H10" s="84"/>
      <c r="I10" s="84"/>
      <c r="J10" s="84"/>
      <c r="K10" s="84"/>
      <c r="L10" s="84"/>
      <c r="M10" s="84"/>
      <c r="N10" s="24"/>
      <c r="O10" s="24"/>
      <c r="P10" s="24"/>
      <c r="Q10" s="24"/>
      <c r="R10" s="24"/>
      <c r="S10" s="24"/>
      <c r="T10" s="24"/>
      <c r="U10" s="24"/>
      <c r="V10" s="24"/>
      <c r="W10" s="24"/>
      <c r="X10" s="24"/>
      <c r="Y10" s="24"/>
      <c r="Z10" s="24"/>
      <c r="AA10" s="24"/>
    </row>
    <row r="11">
      <c r="A11" s="86"/>
      <c r="B11" s="77"/>
      <c r="C11" s="59"/>
      <c r="D11" s="59"/>
      <c r="E11" s="59"/>
      <c r="F11" s="59"/>
      <c r="G11" s="59"/>
      <c r="H11" s="59"/>
      <c r="I11" s="59"/>
      <c r="J11" s="59"/>
      <c r="K11" s="59"/>
      <c r="L11" s="59"/>
      <c r="M11" s="59"/>
      <c r="N11" s="24"/>
      <c r="O11" s="24"/>
      <c r="P11" s="24"/>
      <c r="Q11" s="24"/>
      <c r="R11" s="24"/>
      <c r="S11" s="24"/>
      <c r="T11" s="24"/>
      <c r="U11" s="24"/>
      <c r="V11" s="24"/>
      <c r="W11" s="24"/>
      <c r="X11" s="24"/>
      <c r="Y11" s="24"/>
      <c r="Z11" s="24"/>
      <c r="AA11" s="24"/>
    </row>
    <row r="12">
      <c r="A12" s="87" t="s">
        <v>499</v>
      </c>
      <c r="B12" s="59"/>
      <c r="C12" s="59"/>
      <c r="D12" s="59"/>
      <c r="E12" s="59"/>
      <c r="F12" s="59"/>
      <c r="G12" s="59"/>
      <c r="H12" s="59"/>
      <c r="I12" s="59"/>
      <c r="J12" s="59"/>
      <c r="K12" s="59"/>
      <c r="L12" s="59"/>
      <c r="M12" s="60"/>
      <c r="N12" s="24"/>
      <c r="O12" s="24"/>
      <c r="P12" s="24"/>
      <c r="Q12" s="24"/>
      <c r="R12" s="24"/>
      <c r="S12" s="24"/>
      <c r="T12" s="24"/>
      <c r="U12" s="24"/>
      <c r="V12" s="24"/>
      <c r="W12" s="24"/>
      <c r="X12" s="24"/>
      <c r="Y12" s="24"/>
      <c r="Z12" s="24"/>
      <c r="AA12" s="24"/>
    </row>
    <row r="13" ht="123.0" customHeight="1">
      <c r="A13" s="88" t="s">
        <v>500</v>
      </c>
      <c r="B13" s="90" t="s">
        <v>501</v>
      </c>
      <c r="C13" s="91" t="s">
        <v>502</v>
      </c>
      <c r="D13" s="93" t="s">
        <v>503</v>
      </c>
      <c r="E13" s="59"/>
      <c r="F13" s="59"/>
      <c r="G13" s="102" t="s">
        <v>504</v>
      </c>
      <c r="H13" s="103">
        <v>46240.0</v>
      </c>
      <c r="I13" s="88" t="s">
        <v>23</v>
      </c>
      <c r="J13" s="91" t="s">
        <v>505</v>
      </c>
      <c r="K13" s="104"/>
      <c r="L13" s="104"/>
      <c r="M13" s="105"/>
      <c r="N13" s="24"/>
      <c r="O13" s="24"/>
      <c r="P13" s="24"/>
      <c r="Q13" s="24"/>
      <c r="R13" s="24"/>
      <c r="S13" s="24"/>
      <c r="T13" s="24"/>
      <c r="U13" s="24"/>
      <c r="V13" s="24"/>
      <c r="W13" s="24"/>
      <c r="X13" s="24"/>
      <c r="Y13" s="24"/>
      <c r="Z13" s="24"/>
      <c r="AA13" s="24"/>
    </row>
    <row r="14" ht="15.75" customHeight="1">
      <c r="A14" s="87" t="s">
        <v>506</v>
      </c>
      <c r="B14" s="59"/>
      <c r="C14" s="59"/>
      <c r="D14" s="59"/>
      <c r="E14" s="59"/>
      <c r="F14" s="59"/>
      <c r="G14" s="59"/>
      <c r="H14" s="59"/>
      <c r="I14" s="59"/>
      <c r="J14" s="59"/>
      <c r="K14" s="59"/>
      <c r="L14" s="59"/>
      <c r="M14" s="60"/>
      <c r="N14" s="24"/>
      <c r="O14" s="24"/>
      <c r="P14" s="24"/>
      <c r="Q14" s="24"/>
      <c r="R14" s="24"/>
      <c r="S14" s="24"/>
      <c r="T14" s="24"/>
      <c r="U14" s="24"/>
      <c r="V14" s="24"/>
      <c r="W14" s="24"/>
      <c r="X14" s="24"/>
      <c r="Y14" s="24"/>
      <c r="Z14" s="24"/>
      <c r="AA14" s="24"/>
    </row>
    <row r="15" ht="141.75" customHeight="1">
      <c r="A15" s="88" t="s">
        <v>507</v>
      </c>
      <c r="B15" s="90" t="s">
        <v>508</v>
      </c>
      <c r="C15" s="91" t="s">
        <v>509</v>
      </c>
      <c r="D15" s="93" t="s">
        <v>510</v>
      </c>
      <c r="E15" s="59"/>
      <c r="F15" s="59"/>
      <c r="G15" s="102" t="s">
        <v>511</v>
      </c>
      <c r="H15" s="103">
        <v>46240.0</v>
      </c>
      <c r="I15" s="88" t="s">
        <v>24</v>
      </c>
      <c r="J15" s="91" t="s">
        <v>512</v>
      </c>
      <c r="K15" s="103">
        <v>46240.0</v>
      </c>
      <c r="L15" s="88" t="s">
        <v>23</v>
      </c>
      <c r="M15" s="102" t="s">
        <v>513</v>
      </c>
      <c r="N15" s="24"/>
      <c r="O15" s="24"/>
      <c r="P15" s="24"/>
      <c r="Q15" s="24"/>
      <c r="R15" s="24"/>
      <c r="S15" s="24"/>
      <c r="T15" s="24"/>
      <c r="U15" s="24"/>
      <c r="V15" s="24"/>
      <c r="W15" s="24"/>
      <c r="X15" s="24"/>
      <c r="Y15" s="24"/>
      <c r="Z15" s="24"/>
      <c r="AA15" s="24"/>
    </row>
    <row r="16" ht="134.25" customHeight="1">
      <c r="A16" s="88" t="s">
        <v>514</v>
      </c>
      <c r="B16" s="90" t="s">
        <v>515</v>
      </c>
      <c r="C16" s="91" t="s">
        <v>516</v>
      </c>
      <c r="D16" s="93" t="s">
        <v>517</v>
      </c>
      <c r="E16" s="59"/>
      <c r="F16" s="59"/>
      <c r="G16" s="102" t="s">
        <v>518</v>
      </c>
      <c r="H16" s="103">
        <v>46240.0</v>
      </c>
      <c r="I16" s="88" t="s">
        <v>24</v>
      </c>
      <c r="J16" s="91" t="s">
        <v>512</v>
      </c>
      <c r="K16" s="103">
        <v>46240.0</v>
      </c>
      <c r="L16" s="88" t="s">
        <v>23</v>
      </c>
      <c r="M16" s="102" t="s">
        <v>519</v>
      </c>
      <c r="N16" s="24"/>
      <c r="O16" s="24"/>
      <c r="P16" s="24"/>
      <c r="Q16" s="24"/>
      <c r="R16" s="24"/>
      <c r="S16" s="24"/>
      <c r="T16" s="24"/>
      <c r="U16" s="24"/>
      <c r="V16" s="24"/>
      <c r="W16" s="24"/>
      <c r="X16" s="24"/>
      <c r="Y16" s="24"/>
      <c r="Z16" s="24"/>
      <c r="AA16" s="24"/>
    </row>
    <row r="17" ht="122.25" customHeight="1">
      <c r="A17" s="88" t="s">
        <v>520</v>
      </c>
      <c r="B17" s="90" t="s">
        <v>521</v>
      </c>
      <c r="C17" s="91" t="s">
        <v>522</v>
      </c>
      <c r="D17" s="93" t="s">
        <v>523</v>
      </c>
      <c r="E17" s="59"/>
      <c r="F17" s="59"/>
      <c r="G17" s="102" t="s">
        <v>524</v>
      </c>
      <c r="H17" s="103">
        <v>46240.0</v>
      </c>
      <c r="I17" s="88" t="s">
        <v>24</v>
      </c>
      <c r="J17" s="91" t="s">
        <v>512</v>
      </c>
      <c r="K17" s="103">
        <v>46240.0</v>
      </c>
      <c r="L17" s="88" t="s">
        <v>23</v>
      </c>
      <c r="M17" s="102" t="s">
        <v>525</v>
      </c>
      <c r="N17" s="24"/>
      <c r="O17" s="24"/>
      <c r="P17" s="24"/>
      <c r="Q17" s="24"/>
      <c r="R17" s="24"/>
      <c r="S17" s="24"/>
      <c r="T17" s="24"/>
      <c r="U17" s="24"/>
      <c r="V17" s="24"/>
      <c r="W17" s="24"/>
      <c r="X17" s="24"/>
      <c r="Y17" s="24"/>
      <c r="Z17" s="24"/>
      <c r="AA17" s="24"/>
    </row>
    <row r="18">
      <c r="A18" s="87" t="s">
        <v>526</v>
      </c>
      <c r="B18" s="59"/>
      <c r="C18" s="59"/>
      <c r="D18" s="59"/>
      <c r="E18" s="59"/>
      <c r="F18" s="59"/>
      <c r="G18" s="59"/>
      <c r="H18" s="59"/>
      <c r="I18" s="59"/>
      <c r="J18" s="59"/>
      <c r="K18" s="59"/>
      <c r="L18" s="59"/>
      <c r="M18" s="60"/>
      <c r="N18" s="24"/>
      <c r="O18" s="24"/>
      <c r="P18" s="24"/>
      <c r="Q18" s="24"/>
      <c r="R18" s="24"/>
      <c r="S18" s="24"/>
      <c r="T18" s="24"/>
      <c r="U18" s="24"/>
      <c r="V18" s="24"/>
      <c r="W18" s="24"/>
      <c r="X18" s="24"/>
      <c r="Y18" s="24"/>
      <c r="Z18" s="24"/>
      <c r="AA18" s="24"/>
    </row>
    <row r="19" ht="126.75" customHeight="1">
      <c r="A19" s="88" t="s">
        <v>527</v>
      </c>
      <c r="B19" s="90" t="s">
        <v>528</v>
      </c>
      <c r="C19" s="91" t="s">
        <v>529</v>
      </c>
      <c r="D19" s="93" t="s">
        <v>530</v>
      </c>
      <c r="E19" s="59"/>
      <c r="F19" s="59"/>
      <c r="G19" s="102" t="s">
        <v>531</v>
      </c>
      <c r="H19" s="103">
        <v>46240.0</v>
      </c>
      <c r="I19" s="88" t="s">
        <v>23</v>
      </c>
      <c r="J19" s="91" t="s">
        <v>532</v>
      </c>
      <c r="K19" s="103"/>
      <c r="L19" s="88"/>
      <c r="M19" s="91"/>
      <c r="N19" s="24"/>
      <c r="O19" s="24"/>
      <c r="P19" s="24"/>
      <c r="Q19" s="24"/>
      <c r="R19" s="24"/>
      <c r="S19" s="24"/>
      <c r="T19" s="24"/>
      <c r="U19" s="24"/>
      <c r="V19" s="24"/>
      <c r="W19" s="24"/>
      <c r="X19" s="24"/>
      <c r="Y19" s="24"/>
      <c r="Z19" s="24"/>
      <c r="AA19" s="24"/>
    </row>
    <row r="20" ht="126.75" customHeight="1">
      <c r="A20" s="88" t="s">
        <v>533</v>
      </c>
      <c r="B20" s="90" t="s">
        <v>534</v>
      </c>
      <c r="C20" s="91" t="s">
        <v>535</v>
      </c>
      <c r="D20" s="93" t="s">
        <v>536</v>
      </c>
      <c r="E20" s="59"/>
      <c r="F20" s="59"/>
      <c r="G20" s="102" t="s">
        <v>537</v>
      </c>
      <c r="H20" s="103">
        <v>46240.0</v>
      </c>
      <c r="I20" s="88" t="s">
        <v>23</v>
      </c>
      <c r="J20" s="91" t="s">
        <v>538</v>
      </c>
      <c r="K20" s="103"/>
      <c r="L20" s="88"/>
      <c r="M20" s="91"/>
      <c r="N20" s="24"/>
      <c r="O20" s="24"/>
      <c r="P20" s="24"/>
      <c r="Q20" s="24"/>
      <c r="R20" s="24"/>
      <c r="S20" s="24"/>
      <c r="T20" s="24"/>
      <c r="U20" s="24"/>
      <c r="V20" s="24"/>
      <c r="W20" s="24"/>
      <c r="X20" s="24"/>
      <c r="Y20" s="24"/>
      <c r="Z20" s="24"/>
      <c r="AA20" s="24"/>
    </row>
    <row r="21">
      <c r="A21" s="87" t="s">
        <v>539</v>
      </c>
      <c r="B21" s="59"/>
      <c r="C21" s="59"/>
      <c r="D21" s="59"/>
      <c r="E21" s="59"/>
      <c r="F21" s="59"/>
      <c r="G21" s="59"/>
      <c r="H21" s="59"/>
      <c r="I21" s="59"/>
      <c r="J21" s="59"/>
      <c r="K21" s="59"/>
      <c r="L21" s="59"/>
      <c r="M21" s="60"/>
      <c r="N21" s="135"/>
      <c r="AA21" s="24"/>
    </row>
    <row r="22" ht="128.25" customHeight="1">
      <c r="A22" s="88" t="s">
        <v>540</v>
      </c>
      <c r="B22" s="90" t="s">
        <v>541</v>
      </c>
      <c r="C22" s="91" t="s">
        <v>542</v>
      </c>
      <c r="D22" s="93" t="s">
        <v>543</v>
      </c>
      <c r="E22" s="59"/>
      <c r="F22" s="59"/>
      <c r="G22" s="130" t="s">
        <v>544</v>
      </c>
      <c r="H22" s="103">
        <v>46240.0</v>
      </c>
      <c r="I22" s="88" t="s">
        <v>24</v>
      </c>
      <c r="J22" s="91" t="s">
        <v>545</v>
      </c>
      <c r="K22" s="104"/>
      <c r="L22" s="104"/>
      <c r="M22" s="105"/>
      <c r="N22" s="24"/>
      <c r="O22" s="24"/>
      <c r="P22" s="24"/>
      <c r="Q22" s="24"/>
      <c r="R22" s="24"/>
      <c r="S22" s="24"/>
      <c r="T22" s="24"/>
      <c r="U22" s="24"/>
      <c r="V22" s="24"/>
      <c r="W22" s="24"/>
      <c r="X22" s="24"/>
      <c r="Y22" s="24"/>
      <c r="Z22" s="24"/>
      <c r="AA22" s="24"/>
    </row>
    <row r="23">
      <c r="A23" s="87" t="s">
        <v>546</v>
      </c>
      <c r="B23" s="59"/>
      <c r="C23" s="59"/>
      <c r="D23" s="59"/>
      <c r="E23" s="59"/>
      <c r="F23" s="59"/>
      <c r="G23" s="59"/>
      <c r="H23" s="59"/>
      <c r="I23" s="59"/>
      <c r="J23" s="59"/>
      <c r="K23" s="59"/>
      <c r="L23" s="59"/>
      <c r="M23" s="60"/>
      <c r="N23" s="136"/>
      <c r="AA23" s="24"/>
    </row>
    <row r="24" ht="139.5" customHeight="1">
      <c r="A24" s="88" t="s">
        <v>547</v>
      </c>
      <c r="B24" s="90" t="s">
        <v>548</v>
      </c>
      <c r="C24" s="91" t="s">
        <v>549</v>
      </c>
      <c r="D24" s="93" t="s">
        <v>550</v>
      </c>
      <c r="E24" s="59"/>
      <c r="F24" s="59"/>
      <c r="G24" s="102" t="s">
        <v>551</v>
      </c>
      <c r="H24" s="103">
        <v>46240.0</v>
      </c>
      <c r="I24" s="88" t="s">
        <v>24</v>
      </c>
      <c r="J24" s="91" t="s">
        <v>552</v>
      </c>
      <c r="K24" s="103">
        <v>46241.0</v>
      </c>
      <c r="L24" s="88" t="s">
        <v>23</v>
      </c>
      <c r="M24" s="102" t="s">
        <v>553</v>
      </c>
      <c r="N24" s="24"/>
      <c r="O24" s="24"/>
      <c r="P24" s="24"/>
      <c r="Q24" s="24"/>
      <c r="R24" s="24"/>
      <c r="S24" s="24"/>
      <c r="T24" s="24"/>
      <c r="U24" s="24"/>
      <c r="V24" s="24"/>
      <c r="W24" s="24"/>
      <c r="X24" s="24"/>
      <c r="Y24" s="24"/>
      <c r="Z24" s="24"/>
      <c r="AA24" s="24"/>
    </row>
    <row r="25" ht="152.25" customHeight="1">
      <c r="A25" s="88" t="s">
        <v>554</v>
      </c>
      <c r="B25" s="90" t="s">
        <v>555</v>
      </c>
      <c r="C25" s="91" t="s">
        <v>556</v>
      </c>
      <c r="D25" s="93" t="s">
        <v>557</v>
      </c>
      <c r="E25" s="59"/>
      <c r="F25" s="59"/>
      <c r="G25" s="137" t="s">
        <v>558</v>
      </c>
      <c r="H25" s="103">
        <v>46240.0</v>
      </c>
      <c r="I25" s="88" t="s">
        <v>23</v>
      </c>
      <c r="J25" s="91" t="s">
        <v>559</v>
      </c>
      <c r="K25" s="103"/>
      <c r="L25" s="88"/>
      <c r="M25" s="126"/>
      <c r="N25" s="24"/>
      <c r="O25" s="24"/>
      <c r="P25" s="24"/>
      <c r="Q25" s="24"/>
      <c r="R25" s="24"/>
      <c r="S25" s="24"/>
      <c r="T25" s="24"/>
      <c r="U25" s="24"/>
      <c r="V25" s="24"/>
      <c r="W25" s="24"/>
      <c r="X25" s="24"/>
      <c r="Y25" s="24"/>
      <c r="Z25" s="24"/>
      <c r="AA25" s="24"/>
    </row>
    <row r="26" ht="156.75" customHeight="1">
      <c r="A26" s="88" t="s">
        <v>560</v>
      </c>
      <c r="B26" s="90" t="s">
        <v>561</v>
      </c>
      <c r="C26" s="91" t="s">
        <v>562</v>
      </c>
      <c r="D26" s="93" t="s">
        <v>563</v>
      </c>
      <c r="E26" s="59"/>
      <c r="F26" s="59"/>
      <c r="G26" s="102" t="s">
        <v>564</v>
      </c>
      <c r="H26" s="103">
        <v>46240.0</v>
      </c>
      <c r="I26" s="88" t="s">
        <v>23</v>
      </c>
      <c r="J26" s="91" t="s">
        <v>565</v>
      </c>
      <c r="K26" s="103"/>
      <c r="L26" s="88"/>
      <c r="M26" s="126"/>
      <c r="N26" s="24"/>
      <c r="O26" s="24"/>
      <c r="P26" s="24"/>
      <c r="Q26" s="24"/>
      <c r="R26" s="24"/>
      <c r="S26" s="24"/>
      <c r="T26" s="24"/>
      <c r="U26" s="24"/>
      <c r="V26" s="24"/>
      <c r="W26" s="24"/>
      <c r="X26" s="24"/>
      <c r="Y26" s="24"/>
      <c r="Z26" s="24"/>
      <c r="AA26" s="24"/>
    </row>
    <row r="27" ht="156.75" customHeight="1">
      <c r="A27" s="88" t="s">
        <v>566</v>
      </c>
      <c r="B27" s="90" t="s">
        <v>567</v>
      </c>
      <c r="C27" s="91" t="s">
        <v>568</v>
      </c>
      <c r="D27" s="93" t="s">
        <v>569</v>
      </c>
      <c r="E27" s="59"/>
      <c r="F27" s="59"/>
      <c r="G27" s="102" t="s">
        <v>570</v>
      </c>
      <c r="H27" s="103">
        <v>46240.0</v>
      </c>
      <c r="I27" s="88" t="s">
        <v>24</v>
      </c>
      <c r="J27" s="91" t="s">
        <v>571</v>
      </c>
      <c r="K27" s="103">
        <v>46241.0</v>
      </c>
      <c r="L27" s="88" t="s">
        <v>23</v>
      </c>
      <c r="M27" s="102" t="s">
        <v>572</v>
      </c>
      <c r="N27" s="24"/>
      <c r="O27" s="24"/>
      <c r="P27" s="24"/>
      <c r="Q27" s="24"/>
      <c r="R27" s="24"/>
      <c r="S27" s="24"/>
      <c r="T27" s="24"/>
      <c r="U27" s="24"/>
      <c r="V27" s="24"/>
      <c r="W27" s="24"/>
      <c r="X27" s="24"/>
      <c r="Y27" s="24"/>
      <c r="Z27" s="24"/>
      <c r="AA27" s="24"/>
    </row>
    <row r="28" ht="15.75" customHeight="1">
      <c r="A28" s="87" t="s">
        <v>573</v>
      </c>
      <c r="B28" s="59"/>
      <c r="C28" s="59"/>
      <c r="D28" s="59"/>
      <c r="E28" s="59"/>
      <c r="F28" s="59"/>
      <c r="G28" s="59"/>
      <c r="H28" s="59"/>
      <c r="I28" s="59"/>
      <c r="J28" s="59"/>
      <c r="K28" s="59"/>
      <c r="L28" s="59"/>
      <c r="M28" s="60"/>
      <c r="N28" s="24"/>
      <c r="O28" s="24"/>
      <c r="P28" s="24"/>
      <c r="Q28" s="24"/>
      <c r="R28" s="24"/>
      <c r="S28" s="24"/>
      <c r="T28" s="24"/>
      <c r="U28" s="24"/>
      <c r="V28" s="24"/>
      <c r="W28" s="24"/>
      <c r="X28" s="24"/>
      <c r="Y28" s="24"/>
      <c r="Z28" s="24"/>
      <c r="AA28" s="24"/>
    </row>
    <row r="29" ht="156.75" customHeight="1">
      <c r="A29" s="88" t="s">
        <v>574</v>
      </c>
      <c r="B29" s="90" t="s">
        <v>575</v>
      </c>
      <c r="C29" s="91" t="s">
        <v>576</v>
      </c>
      <c r="D29" s="93" t="s">
        <v>577</v>
      </c>
      <c r="E29" s="59"/>
      <c r="F29" s="59"/>
      <c r="G29" s="102" t="s">
        <v>578</v>
      </c>
      <c r="H29" s="103">
        <v>46240.0</v>
      </c>
      <c r="I29" s="88" t="s">
        <v>23</v>
      </c>
      <c r="J29" s="91" t="s">
        <v>579</v>
      </c>
      <c r="K29" s="103"/>
      <c r="L29" s="88"/>
      <c r="M29" s="126"/>
      <c r="N29" s="24"/>
      <c r="O29" s="24"/>
      <c r="P29" s="24"/>
      <c r="Q29" s="24"/>
      <c r="R29" s="24"/>
      <c r="S29" s="24"/>
      <c r="T29" s="24"/>
      <c r="U29" s="24"/>
      <c r="V29" s="24"/>
      <c r="W29" s="24"/>
      <c r="X29" s="24"/>
      <c r="Y29" s="24"/>
      <c r="Z29" s="24"/>
      <c r="AA29" s="24"/>
    </row>
    <row r="30" ht="156.75" customHeight="1">
      <c r="A30" s="88" t="s">
        <v>580</v>
      </c>
      <c r="B30" s="90" t="s">
        <v>581</v>
      </c>
      <c r="C30" s="91" t="s">
        <v>582</v>
      </c>
      <c r="D30" s="93" t="s">
        <v>583</v>
      </c>
      <c r="E30" s="59"/>
      <c r="F30" s="59"/>
      <c r="G30" s="102" t="s">
        <v>584</v>
      </c>
      <c r="H30" s="103">
        <v>46240.0</v>
      </c>
      <c r="I30" s="88" t="s">
        <v>23</v>
      </c>
      <c r="J30" s="91" t="s">
        <v>585</v>
      </c>
      <c r="K30" s="103"/>
      <c r="L30" s="88"/>
      <c r="M30" s="126"/>
      <c r="N30" s="24"/>
      <c r="O30" s="24"/>
      <c r="P30" s="24"/>
      <c r="Q30" s="24"/>
      <c r="R30" s="24"/>
      <c r="S30" s="24"/>
      <c r="T30" s="24"/>
      <c r="U30" s="24"/>
      <c r="V30" s="24"/>
      <c r="W30" s="24"/>
      <c r="X30" s="24"/>
      <c r="Y30" s="24"/>
      <c r="Z30" s="24"/>
      <c r="AA30" s="24"/>
    </row>
    <row r="31" ht="15.75" customHeight="1">
      <c r="A31" s="87" t="s">
        <v>586</v>
      </c>
      <c r="B31" s="59"/>
      <c r="C31" s="59"/>
      <c r="D31" s="59"/>
      <c r="E31" s="59"/>
      <c r="F31" s="59"/>
      <c r="G31" s="59"/>
      <c r="H31" s="59"/>
      <c r="I31" s="59"/>
      <c r="J31" s="59"/>
      <c r="K31" s="59"/>
      <c r="L31" s="59"/>
      <c r="M31" s="60"/>
      <c r="N31" s="24"/>
      <c r="O31" s="24"/>
      <c r="P31" s="24"/>
      <c r="Q31" s="24"/>
      <c r="R31" s="24"/>
      <c r="S31" s="24"/>
      <c r="T31" s="24"/>
      <c r="U31" s="24"/>
      <c r="V31" s="24"/>
      <c r="W31" s="24"/>
      <c r="X31" s="24"/>
      <c r="Y31" s="24"/>
      <c r="Z31" s="24"/>
      <c r="AA31" s="24"/>
    </row>
    <row r="32" ht="156.75" customHeight="1">
      <c r="A32" s="88" t="s">
        <v>587</v>
      </c>
      <c r="B32" s="90" t="s">
        <v>588</v>
      </c>
      <c r="C32" s="91" t="s">
        <v>589</v>
      </c>
      <c r="D32" s="93" t="s">
        <v>590</v>
      </c>
      <c r="E32" s="59"/>
      <c r="F32" s="59"/>
      <c r="G32" s="102" t="s">
        <v>591</v>
      </c>
      <c r="H32" s="103">
        <v>46242.0</v>
      </c>
      <c r="I32" s="88" t="s">
        <v>23</v>
      </c>
      <c r="J32" s="91" t="s">
        <v>592</v>
      </c>
      <c r="K32" s="103"/>
      <c r="L32" s="88"/>
      <c r="M32" s="126"/>
      <c r="N32" s="24"/>
      <c r="O32" s="24"/>
      <c r="P32" s="24"/>
      <c r="Q32" s="24"/>
      <c r="R32" s="24"/>
      <c r="S32" s="24"/>
      <c r="T32" s="24"/>
      <c r="U32" s="24"/>
      <c r="V32" s="24"/>
      <c r="W32" s="24"/>
      <c r="X32" s="24"/>
      <c r="Y32" s="24"/>
      <c r="Z32" s="24"/>
      <c r="AA32" s="24"/>
    </row>
    <row r="33" ht="156.75" customHeight="1">
      <c r="A33" s="88" t="s">
        <v>593</v>
      </c>
      <c r="B33" s="90" t="s">
        <v>594</v>
      </c>
      <c r="C33" s="91" t="s">
        <v>595</v>
      </c>
      <c r="D33" s="93" t="s">
        <v>596</v>
      </c>
      <c r="E33" s="59"/>
      <c r="F33" s="59"/>
      <c r="G33" s="102" t="s">
        <v>597</v>
      </c>
      <c r="H33" s="103">
        <v>46242.0</v>
      </c>
      <c r="I33" s="88" t="s">
        <v>23</v>
      </c>
      <c r="J33" s="91" t="s">
        <v>598</v>
      </c>
      <c r="K33" s="103"/>
      <c r="L33" s="88"/>
      <c r="M33" s="126"/>
      <c r="N33" s="24"/>
      <c r="O33" s="24"/>
      <c r="P33" s="24"/>
      <c r="Q33" s="24"/>
      <c r="R33" s="24"/>
      <c r="S33" s="24"/>
      <c r="T33" s="24"/>
      <c r="U33" s="24"/>
      <c r="V33" s="24"/>
      <c r="W33" s="24"/>
      <c r="X33" s="24"/>
      <c r="Y33" s="24"/>
      <c r="Z33" s="24"/>
      <c r="AA33" s="24"/>
    </row>
    <row r="34" ht="156.75" customHeight="1">
      <c r="A34" s="88" t="s">
        <v>599</v>
      </c>
      <c r="B34" s="90" t="s">
        <v>600</v>
      </c>
      <c r="C34" s="91" t="s">
        <v>601</v>
      </c>
      <c r="D34" s="93" t="s">
        <v>602</v>
      </c>
      <c r="E34" s="59"/>
      <c r="F34" s="59"/>
      <c r="G34" s="102" t="s">
        <v>603</v>
      </c>
      <c r="H34" s="103">
        <v>46242.0</v>
      </c>
      <c r="I34" s="88" t="s">
        <v>23</v>
      </c>
      <c r="J34" s="91" t="s">
        <v>604</v>
      </c>
      <c r="K34" s="103"/>
      <c r="L34" s="88"/>
      <c r="M34" s="126"/>
      <c r="N34" s="24"/>
      <c r="O34" s="24"/>
      <c r="P34" s="24"/>
      <c r="Q34" s="24"/>
      <c r="R34" s="24"/>
      <c r="S34" s="24"/>
      <c r="T34" s="24"/>
      <c r="U34" s="24"/>
      <c r="V34" s="24"/>
      <c r="W34" s="24"/>
      <c r="X34" s="24"/>
      <c r="Y34" s="24"/>
      <c r="Z34" s="24"/>
      <c r="AA34" s="24"/>
    </row>
    <row r="35" ht="156.75" customHeight="1">
      <c r="A35" s="88" t="s">
        <v>605</v>
      </c>
      <c r="B35" s="90" t="s">
        <v>606</v>
      </c>
      <c r="C35" s="91" t="s">
        <v>607</v>
      </c>
      <c r="D35" s="93" t="s">
        <v>608</v>
      </c>
      <c r="E35" s="59"/>
      <c r="F35" s="59"/>
      <c r="G35" s="102" t="s">
        <v>609</v>
      </c>
      <c r="H35" s="103">
        <v>46242.0</v>
      </c>
      <c r="I35" s="88" t="s">
        <v>23</v>
      </c>
      <c r="J35" s="91" t="s">
        <v>610</v>
      </c>
      <c r="K35" s="103"/>
      <c r="L35" s="88"/>
      <c r="M35" s="126"/>
      <c r="N35" s="24"/>
      <c r="O35" s="24"/>
      <c r="P35" s="24"/>
      <c r="Q35" s="24"/>
      <c r="R35" s="24"/>
      <c r="S35" s="24"/>
      <c r="T35" s="24"/>
      <c r="U35" s="24"/>
      <c r="V35" s="24"/>
      <c r="W35" s="24"/>
      <c r="X35" s="24"/>
      <c r="Y35" s="24"/>
      <c r="Z35" s="24"/>
      <c r="AA35" s="24"/>
    </row>
    <row r="36">
      <c r="A36" s="87" t="s">
        <v>611</v>
      </c>
      <c r="B36" s="59"/>
      <c r="C36" s="59"/>
      <c r="D36" s="59"/>
      <c r="E36" s="59"/>
      <c r="F36" s="59"/>
      <c r="G36" s="59"/>
      <c r="H36" s="59"/>
      <c r="I36" s="59"/>
      <c r="J36" s="59"/>
      <c r="K36" s="59"/>
      <c r="L36" s="59"/>
      <c r="M36" s="60"/>
      <c r="N36" s="24"/>
      <c r="O36" s="24"/>
      <c r="P36" s="24"/>
      <c r="Q36" s="24"/>
      <c r="R36" s="24"/>
      <c r="S36" s="24"/>
      <c r="T36" s="24"/>
      <c r="U36" s="24"/>
      <c r="V36" s="24"/>
      <c r="W36" s="24"/>
      <c r="X36" s="24"/>
      <c r="Y36" s="24"/>
      <c r="Z36" s="24"/>
      <c r="AA36" s="24"/>
    </row>
    <row r="37" ht="186.75" customHeight="1">
      <c r="A37" s="88" t="s">
        <v>612</v>
      </c>
      <c r="B37" s="90" t="s">
        <v>613</v>
      </c>
      <c r="C37" s="91" t="s">
        <v>614</v>
      </c>
      <c r="D37" s="93" t="s">
        <v>615</v>
      </c>
      <c r="E37" s="59"/>
      <c r="F37" s="59"/>
      <c r="G37" s="102" t="s">
        <v>616</v>
      </c>
      <c r="H37" s="103">
        <v>46242.0</v>
      </c>
      <c r="I37" s="88" t="s">
        <v>24</v>
      </c>
      <c r="J37" s="91" t="s">
        <v>617</v>
      </c>
      <c r="K37" s="103">
        <v>46242.0</v>
      </c>
      <c r="L37" s="88" t="s">
        <v>23</v>
      </c>
      <c r="M37" s="102" t="s">
        <v>618</v>
      </c>
      <c r="N37" s="24"/>
      <c r="O37" s="24"/>
      <c r="P37" s="24"/>
      <c r="Q37" s="24"/>
      <c r="R37" s="24"/>
      <c r="S37" s="24"/>
      <c r="T37" s="24"/>
      <c r="U37" s="24"/>
      <c r="V37" s="24"/>
      <c r="W37" s="24"/>
      <c r="X37" s="24"/>
      <c r="Y37" s="24"/>
      <c r="Z37" s="24"/>
      <c r="AA37" s="24"/>
    </row>
    <row r="38" ht="156.75" customHeight="1">
      <c r="A38" s="88" t="s">
        <v>619</v>
      </c>
      <c r="B38" s="90" t="s">
        <v>620</v>
      </c>
      <c r="C38" s="91" t="s">
        <v>621</v>
      </c>
      <c r="D38" s="93" t="s">
        <v>622</v>
      </c>
      <c r="E38" s="59"/>
      <c r="F38" s="59"/>
      <c r="G38" s="102" t="s">
        <v>623</v>
      </c>
      <c r="H38" s="103">
        <v>46242.0</v>
      </c>
      <c r="I38" s="88" t="s">
        <v>23</v>
      </c>
      <c r="J38" s="91" t="s">
        <v>624</v>
      </c>
      <c r="K38" s="103"/>
      <c r="L38" s="88"/>
      <c r="M38" s="126"/>
      <c r="N38" s="24"/>
      <c r="O38" s="24"/>
      <c r="P38" s="24"/>
      <c r="Q38" s="24"/>
      <c r="R38" s="24"/>
      <c r="S38" s="24"/>
      <c r="T38" s="24"/>
      <c r="U38" s="24"/>
      <c r="V38" s="24"/>
      <c r="W38" s="24"/>
      <c r="X38" s="24"/>
      <c r="Y38" s="24"/>
      <c r="Z38" s="24"/>
      <c r="AA38" s="24"/>
    </row>
    <row r="39">
      <c r="A39" s="87" t="s">
        <v>625</v>
      </c>
      <c r="B39" s="59"/>
      <c r="C39" s="59"/>
      <c r="D39" s="59"/>
      <c r="E39" s="59"/>
      <c r="F39" s="59"/>
      <c r="G39" s="59"/>
      <c r="H39" s="59"/>
      <c r="I39" s="59"/>
      <c r="J39" s="59"/>
      <c r="K39" s="59"/>
      <c r="L39" s="59"/>
      <c r="M39" s="60"/>
      <c r="N39" s="24"/>
      <c r="O39" s="24"/>
      <c r="P39" s="24"/>
      <c r="Q39" s="24"/>
      <c r="R39" s="24"/>
      <c r="S39" s="24"/>
      <c r="T39" s="24"/>
      <c r="U39" s="24"/>
      <c r="V39" s="24"/>
      <c r="W39" s="24"/>
      <c r="X39" s="24"/>
      <c r="Y39" s="24"/>
      <c r="Z39" s="24"/>
      <c r="AA39" s="24"/>
    </row>
    <row r="40" ht="156.75" customHeight="1">
      <c r="A40" s="88" t="s">
        <v>626</v>
      </c>
      <c r="B40" s="90" t="s">
        <v>627</v>
      </c>
      <c r="C40" s="91" t="s">
        <v>628</v>
      </c>
      <c r="D40" s="93" t="s">
        <v>629</v>
      </c>
      <c r="E40" s="59"/>
      <c r="F40" s="59"/>
      <c r="G40" s="102" t="s">
        <v>630</v>
      </c>
      <c r="H40" s="103">
        <v>46242.0</v>
      </c>
      <c r="I40" s="88" t="s">
        <v>23</v>
      </c>
      <c r="J40" s="91" t="s">
        <v>631</v>
      </c>
      <c r="K40" s="103"/>
      <c r="L40" s="88"/>
      <c r="M40" s="126"/>
      <c r="N40" s="24"/>
      <c r="O40" s="24"/>
      <c r="P40" s="24"/>
      <c r="Q40" s="24"/>
      <c r="R40" s="24"/>
      <c r="S40" s="24"/>
      <c r="T40" s="24"/>
      <c r="U40" s="24"/>
      <c r="V40" s="24"/>
      <c r="W40" s="24"/>
      <c r="X40" s="24"/>
      <c r="Y40" s="24"/>
      <c r="Z40" s="24"/>
      <c r="AA40" s="24"/>
    </row>
    <row r="4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row>
    <row r="42">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row>
    <row r="43">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row>
    <row r="44">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row>
    <row r="4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row>
    <row r="46">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row>
    <row r="47">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row>
    <row r="48">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row>
    <row r="49">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row>
    <row r="50">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row>
    <row r="51">
      <c r="A51" s="24"/>
      <c r="B51" s="24"/>
      <c r="C51" s="24"/>
      <c r="D51" s="24"/>
      <c r="E51" s="24"/>
      <c r="F51" s="24"/>
      <c r="G51" s="127"/>
      <c r="H51" s="24"/>
      <c r="I51" s="24"/>
      <c r="J51" s="24"/>
      <c r="K51" s="24"/>
      <c r="L51" s="24"/>
      <c r="M51" s="24"/>
      <c r="N51" s="24"/>
      <c r="O51" s="24"/>
      <c r="P51" s="24"/>
      <c r="Q51" s="24"/>
      <c r="R51" s="24"/>
      <c r="S51" s="24"/>
      <c r="T51" s="24"/>
      <c r="U51" s="24"/>
      <c r="V51" s="24"/>
      <c r="W51" s="24"/>
      <c r="X51" s="24"/>
      <c r="Y51" s="24"/>
      <c r="Z51" s="24"/>
      <c r="AA51" s="24"/>
    </row>
    <row r="52">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row>
    <row r="53">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row>
    <row r="54">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row>
    <row r="5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row>
    <row r="56">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row>
    <row r="57">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row>
    <row r="58">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row>
    <row r="59">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row>
    <row r="60">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row>
    <row r="6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row>
    <row r="62">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row>
    <row r="63">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row>
    <row r="64">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row>
    <row r="6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row>
    <row r="66">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row>
    <row r="67">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row>
    <row r="68">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row>
    <row r="69">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row>
    <row r="70">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row>
    <row r="7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row>
    <row r="72">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row>
    <row r="73">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row>
    <row r="74">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row>
    <row r="7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row>
    <row r="76">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row>
    <row r="77">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row>
    <row r="78">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row>
    <row r="79">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row>
    <row r="80">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row>
    <row r="8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row>
    <row r="82">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row>
    <row r="83">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row>
    <row r="84">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row>
    <row r="8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row>
    <row r="86">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row>
    <row r="87">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row>
    <row r="88">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row>
    <row r="89">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row>
    <row r="90">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row>
    <row r="9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row>
    <row r="9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row>
    <row r="93">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row>
    <row r="94">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row>
    <row r="9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row>
    <row r="96">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row>
    <row r="97">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row>
    <row r="98">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row>
    <row r="99">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c r="AA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c r="AA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c r="AA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c r="AA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c r="AA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c r="AA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c r="AA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c r="AA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c r="AA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c r="AA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c r="AA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c r="AA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c r="AA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c r="AA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c r="AA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c r="AA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c r="AA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c r="AA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c r="AA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c r="AA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c r="AA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c r="AA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c r="AA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c r="AA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c r="AA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c r="AA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c r="AA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c r="AA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c r="AA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c r="AA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c r="AA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c r="AA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c r="AA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c r="AA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c r="AA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c r="AA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c r="AA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c r="AA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c r="AA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c r="AA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c r="AA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c r="AA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c r="AA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c r="AA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c r="AA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c r="AA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c r="AA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c r="AA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c r="AA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c r="AA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c r="AA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c r="AA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c r="AA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c r="AA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c r="AA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c r="AA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c r="AA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c r="AA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c r="AA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c r="AA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c r="AA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c r="AA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c r="AA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c r="AA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c r="AA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c r="AA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c r="AA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c r="AA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c r="AA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c r="AA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c r="AA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c r="AA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c r="AA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c r="AA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c r="AA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c r="AA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c r="AA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c r="AA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c r="AA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c r="AA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c r="AA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c r="AA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c r="AA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c r="AA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c r="AA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c r="AA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c r="AA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c r="AA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c r="AA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c r="AA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c r="AA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c r="AA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c r="AA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c r="AA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c r="AA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c r="AA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c r="AA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c r="AA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c r="AA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c r="AA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c r="AA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c r="AA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c r="AA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c r="AA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c r="AA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c r="AA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c r="AA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c r="AA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c r="AA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c r="AA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c r="AA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c r="AA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c r="AA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c r="AA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c r="AA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c r="AA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c r="AA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c r="AA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c r="AA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c r="AA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c r="AA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c r="AA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c r="AA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c r="AA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c r="AA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c r="AA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c r="AA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c r="AA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c r="AA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c r="AA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c r="AA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c r="AA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c r="AA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c r="AA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c r="AA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c r="AA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c r="AA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c r="AA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c r="AA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c r="AA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c r="AA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c r="AA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c r="AA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c r="AA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c r="AA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c r="AA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c r="AA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c r="AA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c r="AA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c r="AA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c r="AA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c r="AA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c r="AA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c r="AA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c r="AA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c r="AA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c r="AA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c r="AA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c r="AA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c r="AA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c r="AA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c r="AA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c r="AA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c r="AA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c r="AA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c r="AA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c r="AA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c r="AA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c r="AA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c r="AA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c r="AA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c r="AA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c r="AA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c r="AA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c r="AA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c r="AA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c r="AA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c r="AA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c r="AA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c r="AA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c r="AA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c r="AA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c r="AA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c r="AA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c r="AA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c r="AA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c r="AA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c r="AA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c r="AA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c r="AA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c r="AA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c r="AA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c r="AA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c r="AA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c r="AA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c r="AA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c r="AA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c r="AA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c r="AA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c r="AA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c r="AA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c r="AA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c r="AA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c r="AA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c r="AA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c r="AA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c r="AA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c r="AA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c r="AA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c r="AA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c r="AA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c r="AA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c r="AA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c r="AA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c r="AA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c r="AA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c r="AA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c r="AA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c r="AA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c r="AA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c r="AA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c r="AA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c r="AA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c r="AA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c r="AA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c r="AA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c r="AA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c r="AA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c r="AA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c r="AA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c r="AA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c r="AA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c r="AA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c r="AA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c r="AA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c r="AA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c r="AA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c r="AA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c r="AA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c r="AA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c r="AA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c r="AA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c r="AA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c r="AA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c r="AA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c r="AA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c r="AA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c r="AA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c r="AA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c r="AA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c r="AA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c r="AA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c r="AA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c r="AA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c r="AA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c r="AA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c r="AA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c r="AA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c r="AA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c r="AA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c r="AA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c r="AA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c r="AA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c r="AA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c r="AA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c r="AA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c r="AA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c r="AA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c r="AA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c r="AA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c r="AA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c r="AA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c r="AA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c r="AA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c r="AA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c r="AA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c r="AA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c r="AA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c r="AA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c r="AA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c r="AA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c r="AA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c r="AA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c r="AA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c r="AA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c r="AA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c r="AA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c r="AA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c r="AA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c r="AA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c r="AA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c r="AA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c r="AA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c r="AA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c r="AA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c r="AA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c r="AA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c r="AA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c r="AA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c r="AA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c r="AA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c r="AA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c r="AA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c r="AA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c r="AA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c r="AA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c r="AA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c r="AA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c r="AA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c r="AA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c r="AA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c r="AA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c r="AA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c r="AA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c r="AA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c r="AA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c r="AA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c r="AA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c r="AA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c r="AA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c r="AA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c r="AA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c r="AA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c r="AA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c r="AA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c r="AA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c r="AA977" s="24"/>
    </row>
    <row r="97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c r="AA978" s="24"/>
    </row>
    <row r="979">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c r="AA979" s="24"/>
    </row>
    <row r="980">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c r="AA980" s="24"/>
    </row>
    <row r="98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c r="AA981" s="24"/>
    </row>
    <row r="982">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c r="AA982" s="24"/>
    </row>
    <row r="983">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c r="AA983" s="24"/>
    </row>
    <row r="984">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c r="AA984" s="24"/>
    </row>
    <row r="98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c r="AA985" s="24"/>
    </row>
    <row r="986">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c r="AA986" s="24"/>
    </row>
    <row r="987">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c r="AA987" s="24"/>
    </row>
    <row r="988">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c r="AA988" s="24"/>
    </row>
    <row r="989">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c r="AA989" s="24"/>
    </row>
    <row r="990">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c r="AA990" s="24"/>
    </row>
    <row r="99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c r="AA991" s="24"/>
    </row>
    <row r="992">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c r="AA992" s="24"/>
    </row>
    <row r="993">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c r="AA993" s="24"/>
    </row>
    <row r="994">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c r="AA994" s="24"/>
    </row>
    <row r="995">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c r="AA995" s="24"/>
    </row>
    <row r="996">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c r="AA996" s="24"/>
    </row>
    <row r="997">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c r="AA997" s="24"/>
    </row>
    <row r="998">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c r="AA998" s="24"/>
    </row>
    <row r="999">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c r="AA999" s="24"/>
    </row>
    <row r="1000">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c r="AA1000" s="24"/>
    </row>
    <row r="1001">
      <c r="A1001" s="24"/>
      <c r="B1001" s="24"/>
      <c r="C1001" s="24"/>
      <c r="D1001" s="24"/>
      <c r="E1001" s="24"/>
      <c r="F1001" s="24"/>
      <c r="G1001" s="24"/>
      <c r="H1001" s="24"/>
      <c r="I1001" s="24"/>
      <c r="J1001" s="24"/>
      <c r="K1001" s="24"/>
      <c r="L1001" s="24"/>
      <c r="M1001" s="24"/>
      <c r="N1001" s="24"/>
      <c r="O1001" s="24"/>
      <c r="P1001" s="24"/>
      <c r="Q1001" s="24"/>
      <c r="R1001" s="24"/>
      <c r="S1001" s="24"/>
      <c r="T1001" s="24"/>
      <c r="U1001" s="24"/>
      <c r="V1001" s="24"/>
      <c r="W1001" s="24"/>
      <c r="X1001" s="24"/>
      <c r="Y1001" s="24"/>
      <c r="Z1001" s="24"/>
      <c r="AA1001" s="24"/>
    </row>
    <row r="1002">
      <c r="A1002" s="24"/>
      <c r="B1002" s="24"/>
      <c r="C1002" s="24"/>
      <c r="D1002" s="24"/>
      <c r="E1002" s="24"/>
      <c r="F1002" s="24"/>
      <c r="G1002" s="24"/>
      <c r="H1002" s="24"/>
      <c r="I1002" s="24"/>
      <c r="J1002" s="24"/>
      <c r="K1002" s="24"/>
      <c r="L1002" s="24"/>
      <c r="M1002" s="24"/>
      <c r="N1002" s="24"/>
      <c r="O1002" s="24"/>
      <c r="P1002" s="24"/>
      <c r="Q1002" s="24"/>
      <c r="R1002" s="24"/>
      <c r="S1002" s="24"/>
      <c r="T1002" s="24"/>
      <c r="U1002" s="24"/>
      <c r="V1002" s="24"/>
      <c r="W1002" s="24"/>
      <c r="X1002" s="24"/>
      <c r="Y1002" s="24"/>
      <c r="Z1002" s="24"/>
      <c r="AA1002" s="24"/>
    </row>
    <row r="1003">
      <c r="A1003" s="24"/>
      <c r="B1003" s="24"/>
      <c r="C1003" s="24"/>
      <c r="D1003" s="24"/>
      <c r="E1003" s="24"/>
      <c r="F1003" s="24"/>
      <c r="G1003" s="24"/>
      <c r="H1003" s="24"/>
      <c r="I1003" s="24"/>
      <c r="J1003" s="24"/>
      <c r="K1003" s="24"/>
      <c r="L1003" s="24"/>
      <c r="M1003" s="24"/>
      <c r="N1003" s="24"/>
      <c r="O1003" s="24"/>
      <c r="P1003" s="24"/>
      <c r="Q1003" s="24"/>
      <c r="R1003" s="24"/>
      <c r="S1003" s="24"/>
      <c r="T1003" s="24"/>
      <c r="U1003" s="24"/>
      <c r="V1003" s="24"/>
      <c r="W1003" s="24"/>
      <c r="X1003" s="24"/>
      <c r="Y1003" s="24"/>
      <c r="Z1003" s="24"/>
      <c r="AA1003" s="24"/>
    </row>
  </sheetData>
  <mergeCells count="47">
    <mergeCell ref="B1:D2"/>
    <mergeCell ref="B3:D3"/>
    <mergeCell ref="B4:D4"/>
    <mergeCell ref="B5:D5"/>
    <mergeCell ref="A9:A10"/>
    <mergeCell ref="B9:B10"/>
    <mergeCell ref="C9:C10"/>
    <mergeCell ref="G9:G10"/>
    <mergeCell ref="H9:H10"/>
    <mergeCell ref="I9:I10"/>
    <mergeCell ref="J9:J10"/>
    <mergeCell ref="K9:K10"/>
    <mergeCell ref="L9:L10"/>
    <mergeCell ref="M9:M10"/>
    <mergeCell ref="D9:F10"/>
    <mergeCell ref="B11:M11"/>
    <mergeCell ref="A12:M12"/>
    <mergeCell ref="D13:F13"/>
    <mergeCell ref="A14:M14"/>
    <mergeCell ref="D15:F15"/>
    <mergeCell ref="D16:F16"/>
    <mergeCell ref="D17:F17"/>
    <mergeCell ref="A18:M18"/>
    <mergeCell ref="D19:F19"/>
    <mergeCell ref="D20:F20"/>
    <mergeCell ref="A21:M21"/>
    <mergeCell ref="N21:Z21"/>
    <mergeCell ref="D22:F22"/>
    <mergeCell ref="A23:M23"/>
    <mergeCell ref="N23:Z23"/>
    <mergeCell ref="D24:F24"/>
    <mergeCell ref="D25:F25"/>
    <mergeCell ref="D26:F26"/>
    <mergeCell ref="D27:F27"/>
    <mergeCell ref="A28:M28"/>
    <mergeCell ref="D35:F35"/>
    <mergeCell ref="D37:F37"/>
    <mergeCell ref="D38:F38"/>
    <mergeCell ref="D40:F40"/>
    <mergeCell ref="D29:F29"/>
    <mergeCell ref="D30:F30"/>
    <mergeCell ref="A31:M31"/>
    <mergeCell ref="D32:F32"/>
    <mergeCell ref="D33:F33"/>
    <mergeCell ref="D34:F34"/>
    <mergeCell ref="A36:M36"/>
    <mergeCell ref="A39:M39"/>
  </mergeCells>
  <hyperlinks>
    <hyperlink r:id="rId1" ref="G13"/>
    <hyperlink r:id="rId2" ref="G15"/>
    <hyperlink r:id="rId3" ref="M15"/>
    <hyperlink r:id="rId4" ref="G16"/>
    <hyperlink r:id="rId5" ref="M16"/>
    <hyperlink r:id="rId6" ref="G17"/>
    <hyperlink r:id="rId7" ref="M17"/>
    <hyperlink r:id="rId8" ref="G19"/>
    <hyperlink r:id="rId9" ref="G20"/>
    <hyperlink r:id="rId10" ref="G22"/>
    <hyperlink r:id="rId11" ref="G24"/>
    <hyperlink r:id="rId12" ref="M24"/>
    <hyperlink r:id="rId13" ref="G25"/>
    <hyperlink r:id="rId14" ref="G26"/>
    <hyperlink r:id="rId15" ref="G27"/>
    <hyperlink r:id="rId16" ref="M27"/>
    <hyperlink r:id="rId17" ref="G29"/>
    <hyperlink r:id="rId18" ref="G30"/>
    <hyperlink r:id="rId19" ref="G32"/>
    <hyperlink r:id="rId20" ref="G33"/>
    <hyperlink r:id="rId21" ref="G34"/>
    <hyperlink r:id="rId22" ref="G35"/>
    <hyperlink r:id="rId23" ref="G37"/>
    <hyperlink r:id="rId24" ref="M37"/>
    <hyperlink r:id="rId25" ref="G38"/>
    <hyperlink r:id="rId26" ref="G40"/>
  </hyperlinks>
  <drawing r:id="rId27"/>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75"/>
    <col customWidth="1" min="2" max="2" width="22.13"/>
    <col customWidth="1" min="3" max="3" width="43.5"/>
    <col customWidth="1" min="6" max="6" width="19.0"/>
    <col customWidth="1" min="7" max="7" width="25.25"/>
    <col customWidth="1" min="8" max="8" width="20.13"/>
    <col customWidth="1" min="9" max="9" width="15.5"/>
    <col customWidth="1" min="10" max="10" width="21.38"/>
    <col customWidth="1" min="11" max="12" width="19.88"/>
    <col customWidth="1" min="13" max="13" width="24.63"/>
  </cols>
  <sheetData>
    <row r="1">
      <c r="A1" s="11" t="s">
        <v>3</v>
      </c>
      <c r="B1" s="18"/>
      <c r="E1" s="18"/>
      <c r="F1" s="18"/>
      <c r="G1" s="18"/>
      <c r="H1" s="18"/>
      <c r="I1" s="18"/>
      <c r="J1" s="18"/>
      <c r="K1" s="24"/>
      <c r="L1" s="24"/>
      <c r="M1" s="24"/>
      <c r="N1" s="24"/>
      <c r="O1" s="24"/>
      <c r="P1" s="24"/>
      <c r="Q1" s="24"/>
      <c r="R1" s="24"/>
      <c r="S1" s="24"/>
      <c r="T1" s="24"/>
      <c r="U1" s="24"/>
      <c r="V1" s="24"/>
      <c r="W1" s="24"/>
      <c r="X1" s="24"/>
      <c r="Y1" s="24"/>
      <c r="Z1" s="24"/>
      <c r="AA1" s="24"/>
    </row>
    <row r="2">
      <c r="A2" s="18"/>
      <c r="B2" s="44"/>
      <c r="C2" s="44"/>
      <c r="D2" s="44"/>
      <c r="E2" s="18"/>
      <c r="F2" s="18"/>
      <c r="G2" s="18"/>
      <c r="H2" s="18"/>
      <c r="I2" s="18"/>
      <c r="J2" s="18"/>
      <c r="K2" s="24"/>
      <c r="L2" s="24"/>
      <c r="M2" s="24"/>
      <c r="N2" s="24"/>
      <c r="O2" s="24"/>
      <c r="P2" s="24"/>
      <c r="Q2" s="24"/>
      <c r="R2" s="24"/>
      <c r="S2" s="24"/>
      <c r="T2" s="24"/>
      <c r="U2" s="24"/>
      <c r="V2" s="24"/>
      <c r="W2" s="24"/>
      <c r="X2" s="24"/>
      <c r="Y2" s="24"/>
      <c r="Z2" s="24"/>
      <c r="AA2" s="24"/>
    </row>
    <row r="3">
      <c r="A3" s="56" t="s">
        <v>60</v>
      </c>
      <c r="B3" s="58" t="s">
        <v>63</v>
      </c>
      <c r="C3" s="59"/>
      <c r="D3" s="60"/>
      <c r="E3" s="18"/>
      <c r="F3" s="18"/>
      <c r="G3" s="18"/>
      <c r="H3" s="18"/>
      <c r="I3" s="24"/>
      <c r="J3" s="24"/>
      <c r="K3" s="24"/>
      <c r="L3" s="24"/>
      <c r="M3" s="24"/>
      <c r="N3" s="24"/>
      <c r="O3" s="24"/>
      <c r="P3" s="24"/>
      <c r="Q3" s="24"/>
      <c r="R3" s="24"/>
      <c r="S3" s="24"/>
      <c r="T3" s="24"/>
      <c r="U3" s="24"/>
      <c r="V3" s="24"/>
      <c r="W3" s="24"/>
      <c r="X3" s="24"/>
      <c r="Y3" s="24"/>
      <c r="Z3" s="24"/>
      <c r="AA3" s="24"/>
    </row>
    <row r="4">
      <c r="A4" s="56" t="s">
        <v>69</v>
      </c>
      <c r="B4" s="61" t="s">
        <v>632</v>
      </c>
      <c r="C4" s="59"/>
      <c r="D4" s="60"/>
      <c r="E4" s="18"/>
      <c r="F4" s="18"/>
      <c r="G4" s="18"/>
      <c r="H4" s="18"/>
      <c r="I4" s="24"/>
      <c r="J4" s="24"/>
      <c r="K4" s="24"/>
      <c r="L4" s="24"/>
      <c r="M4" s="24"/>
      <c r="N4" s="24"/>
      <c r="O4" s="24"/>
      <c r="P4" s="24"/>
      <c r="Q4" s="24"/>
      <c r="R4" s="24"/>
      <c r="S4" s="24"/>
      <c r="T4" s="24"/>
      <c r="U4" s="24"/>
      <c r="V4" s="24"/>
      <c r="W4" s="24"/>
      <c r="X4" s="24"/>
      <c r="Y4" s="24"/>
      <c r="Z4" s="24"/>
      <c r="AA4" s="24"/>
    </row>
    <row r="5">
      <c r="A5" s="56" t="s">
        <v>83</v>
      </c>
      <c r="B5" s="58" t="s">
        <v>633</v>
      </c>
      <c r="C5" s="59"/>
      <c r="D5" s="60"/>
      <c r="E5" s="18"/>
      <c r="F5" s="18"/>
      <c r="G5" s="18"/>
      <c r="H5" s="18"/>
      <c r="I5" s="24"/>
      <c r="J5" s="24"/>
      <c r="K5" s="24"/>
      <c r="L5" s="24"/>
      <c r="M5" s="24"/>
      <c r="N5" s="24"/>
      <c r="O5" s="24"/>
      <c r="P5" s="24"/>
      <c r="Q5" s="24"/>
      <c r="R5" s="24"/>
      <c r="S5" s="24"/>
      <c r="T5" s="24"/>
      <c r="U5" s="24"/>
      <c r="V5" s="24"/>
      <c r="W5" s="24"/>
      <c r="X5" s="24"/>
      <c r="Y5" s="24"/>
      <c r="Z5" s="24"/>
      <c r="AA5" s="24"/>
    </row>
    <row r="6">
      <c r="A6" s="69" t="s">
        <v>23</v>
      </c>
      <c r="B6" s="70">
        <v>5.0</v>
      </c>
      <c r="C6" s="72" t="s">
        <v>25</v>
      </c>
      <c r="D6" s="73">
        <v>0.0</v>
      </c>
      <c r="E6" s="18"/>
      <c r="F6" s="18"/>
      <c r="G6" s="18"/>
      <c r="H6" s="18"/>
      <c r="I6" s="24"/>
      <c r="J6" s="24"/>
      <c r="K6" s="24"/>
      <c r="L6" s="24"/>
      <c r="M6" s="24"/>
      <c r="N6" s="24"/>
      <c r="O6" s="24"/>
      <c r="P6" s="24"/>
      <c r="Q6" s="24"/>
      <c r="R6" s="24"/>
      <c r="S6" s="24"/>
      <c r="T6" s="24"/>
      <c r="U6" s="24"/>
      <c r="V6" s="24"/>
      <c r="W6" s="24"/>
      <c r="X6" s="24"/>
      <c r="Y6" s="24"/>
      <c r="Z6" s="24"/>
      <c r="AA6" s="24"/>
    </row>
    <row r="7">
      <c r="A7" s="69" t="s">
        <v>24</v>
      </c>
      <c r="B7" s="70">
        <v>0.0</v>
      </c>
      <c r="C7" s="75" t="s">
        <v>99</v>
      </c>
      <c r="D7" s="73">
        <v>5.0</v>
      </c>
      <c r="E7" s="18"/>
      <c r="F7" s="18"/>
      <c r="G7" s="18"/>
      <c r="H7" s="18"/>
      <c r="I7" s="24"/>
      <c r="J7" s="24"/>
      <c r="K7" s="24"/>
      <c r="L7" s="24"/>
      <c r="M7" s="24"/>
      <c r="N7" s="24"/>
      <c r="O7" s="24"/>
      <c r="P7" s="24"/>
      <c r="Q7" s="24"/>
      <c r="R7" s="24"/>
      <c r="S7" s="24"/>
      <c r="T7" s="24"/>
      <c r="U7" s="24"/>
      <c r="V7" s="24"/>
      <c r="W7" s="24"/>
      <c r="X7" s="24"/>
      <c r="Y7" s="24"/>
      <c r="Z7" s="24"/>
      <c r="AA7" s="24"/>
    </row>
    <row r="8">
      <c r="A8" s="76"/>
      <c r="B8" s="77"/>
      <c r="C8" s="77"/>
      <c r="D8" s="77"/>
      <c r="E8" s="18"/>
      <c r="F8" s="18"/>
      <c r="G8" s="18"/>
      <c r="H8" s="18"/>
      <c r="I8" s="78"/>
      <c r="J8" s="78"/>
      <c r="K8" s="24"/>
      <c r="L8" s="24"/>
      <c r="M8" s="24"/>
      <c r="N8" s="24"/>
      <c r="O8" s="24"/>
      <c r="P8" s="24"/>
      <c r="Q8" s="24"/>
      <c r="R8" s="24"/>
      <c r="S8" s="24"/>
      <c r="T8" s="24"/>
      <c r="U8" s="24"/>
      <c r="V8" s="24"/>
      <c r="W8" s="24"/>
      <c r="X8" s="24"/>
      <c r="Y8" s="24"/>
      <c r="Z8" s="24"/>
      <c r="AA8" s="24"/>
    </row>
    <row r="9">
      <c r="A9" s="79" t="s">
        <v>101</v>
      </c>
      <c r="B9" s="80" t="s">
        <v>102</v>
      </c>
      <c r="C9" s="79" t="s">
        <v>103</v>
      </c>
      <c r="D9" s="81" t="s">
        <v>104</v>
      </c>
      <c r="G9" s="79" t="s">
        <v>106</v>
      </c>
      <c r="H9" s="82" t="s">
        <v>107</v>
      </c>
      <c r="I9" s="82" t="s">
        <v>109</v>
      </c>
      <c r="J9" s="82" t="s">
        <v>110</v>
      </c>
      <c r="K9" s="24"/>
      <c r="L9" s="24"/>
      <c r="M9" s="24"/>
      <c r="N9" s="24"/>
      <c r="O9" s="24"/>
      <c r="P9" s="24"/>
      <c r="Q9" s="24"/>
      <c r="R9" s="24"/>
      <c r="S9" s="24"/>
      <c r="T9" s="24"/>
      <c r="U9" s="24"/>
      <c r="V9" s="24"/>
      <c r="W9" s="24"/>
      <c r="X9" s="24"/>
      <c r="Y9" s="24"/>
      <c r="Z9" s="24"/>
      <c r="AA9" s="24"/>
    </row>
    <row r="10">
      <c r="A10" s="84"/>
      <c r="B10" s="84"/>
      <c r="C10" s="84"/>
      <c r="D10" s="85"/>
      <c r="E10" s="44"/>
      <c r="F10" s="44"/>
      <c r="G10" s="84"/>
      <c r="H10" s="84"/>
      <c r="I10" s="84"/>
      <c r="J10" s="84"/>
      <c r="K10" s="24"/>
      <c r="L10" s="24"/>
      <c r="M10" s="24"/>
      <c r="N10" s="24"/>
      <c r="O10" s="24"/>
      <c r="P10" s="24"/>
      <c r="Q10" s="24"/>
      <c r="R10" s="24"/>
      <c r="S10" s="24"/>
      <c r="T10" s="24"/>
      <c r="U10" s="24"/>
      <c r="V10" s="24"/>
      <c r="W10" s="24"/>
      <c r="X10" s="24"/>
      <c r="Y10" s="24"/>
      <c r="Z10" s="24"/>
      <c r="AA10" s="24"/>
    </row>
    <row r="11">
      <c r="A11" s="86"/>
      <c r="B11" s="138"/>
      <c r="C11" s="59"/>
      <c r="D11" s="59"/>
      <c r="E11" s="59"/>
      <c r="F11" s="59"/>
      <c r="G11" s="59"/>
      <c r="H11" s="59"/>
      <c r="I11" s="59"/>
      <c r="J11" s="60"/>
      <c r="K11" s="24"/>
      <c r="L11" s="24"/>
      <c r="M11" s="24"/>
      <c r="N11" s="24"/>
      <c r="O11" s="24"/>
      <c r="P11" s="24"/>
      <c r="Q11" s="24"/>
      <c r="R11" s="24"/>
      <c r="S11" s="24"/>
      <c r="T11" s="24"/>
      <c r="U11" s="24"/>
      <c r="V11" s="24"/>
      <c r="W11" s="24"/>
      <c r="X11" s="24"/>
      <c r="Y11" s="24"/>
      <c r="Z11" s="24"/>
      <c r="AA11" s="24"/>
    </row>
    <row r="12">
      <c r="A12" s="87" t="s">
        <v>634</v>
      </c>
      <c r="B12" s="59"/>
      <c r="C12" s="59"/>
      <c r="D12" s="59"/>
      <c r="E12" s="59"/>
      <c r="F12" s="59"/>
      <c r="G12" s="59"/>
      <c r="H12" s="59"/>
      <c r="I12" s="59"/>
      <c r="J12" s="60"/>
      <c r="K12" s="24"/>
      <c r="L12" s="24"/>
      <c r="M12" s="24"/>
      <c r="N12" s="24"/>
      <c r="O12" s="24"/>
      <c r="P12" s="24"/>
      <c r="Q12" s="24"/>
      <c r="R12" s="24"/>
      <c r="S12" s="24"/>
      <c r="T12" s="24"/>
      <c r="U12" s="24"/>
      <c r="V12" s="24"/>
      <c r="W12" s="24"/>
      <c r="X12" s="24"/>
      <c r="Y12" s="24"/>
      <c r="Z12" s="24"/>
      <c r="AA12" s="24"/>
    </row>
    <row r="13" ht="156.75" customHeight="1">
      <c r="A13" s="88" t="s">
        <v>635</v>
      </c>
      <c r="B13" s="90" t="s">
        <v>636</v>
      </c>
      <c r="C13" s="91" t="s">
        <v>637</v>
      </c>
      <c r="D13" s="93" t="s">
        <v>638</v>
      </c>
      <c r="E13" s="59"/>
      <c r="F13" s="59"/>
      <c r="G13" s="102" t="s">
        <v>639</v>
      </c>
      <c r="H13" s="103">
        <v>46245.0</v>
      </c>
      <c r="I13" s="88" t="s">
        <v>23</v>
      </c>
      <c r="J13" s="91" t="s">
        <v>640</v>
      </c>
      <c r="K13" s="24"/>
      <c r="L13" s="24"/>
      <c r="M13" s="24"/>
      <c r="N13" s="24"/>
      <c r="O13" s="24"/>
      <c r="P13" s="24"/>
      <c r="Q13" s="24"/>
      <c r="R13" s="24"/>
      <c r="S13" s="24"/>
      <c r="T13" s="24"/>
      <c r="U13" s="24"/>
      <c r="V13" s="24"/>
      <c r="W13" s="24"/>
      <c r="X13" s="24"/>
      <c r="Y13" s="24"/>
      <c r="Z13" s="24"/>
      <c r="AA13" s="24"/>
    </row>
    <row r="14" ht="15.0" customHeight="1">
      <c r="A14" s="87" t="s">
        <v>641</v>
      </c>
      <c r="B14" s="59"/>
      <c r="C14" s="59"/>
      <c r="D14" s="59"/>
      <c r="E14" s="59"/>
      <c r="F14" s="59"/>
      <c r="G14" s="59"/>
      <c r="H14" s="59"/>
      <c r="I14" s="59"/>
      <c r="J14" s="60"/>
      <c r="K14" s="24"/>
      <c r="L14" s="24"/>
      <c r="M14" s="24"/>
      <c r="N14" s="24"/>
      <c r="O14" s="24"/>
      <c r="P14" s="24"/>
      <c r="Q14" s="24"/>
      <c r="R14" s="24"/>
      <c r="S14" s="24"/>
      <c r="T14" s="24"/>
      <c r="U14" s="24"/>
      <c r="V14" s="24"/>
      <c r="W14" s="24"/>
      <c r="X14" s="24"/>
      <c r="Y14" s="24"/>
      <c r="Z14" s="24"/>
      <c r="AA14" s="24"/>
    </row>
    <row r="15" ht="194.25" customHeight="1">
      <c r="A15" s="88" t="s">
        <v>642</v>
      </c>
      <c r="B15" s="90" t="s">
        <v>643</v>
      </c>
      <c r="C15" s="91" t="s">
        <v>644</v>
      </c>
      <c r="D15" s="93" t="s">
        <v>645</v>
      </c>
      <c r="E15" s="59"/>
      <c r="F15" s="59"/>
      <c r="G15" s="102" t="s">
        <v>646</v>
      </c>
      <c r="H15" s="103">
        <v>46245.0</v>
      </c>
      <c r="I15" s="88" t="s">
        <v>23</v>
      </c>
      <c r="J15" s="91" t="s">
        <v>647</v>
      </c>
      <c r="K15" s="24"/>
      <c r="L15" s="24"/>
      <c r="M15" s="24"/>
      <c r="N15" s="24"/>
      <c r="O15" s="24"/>
      <c r="P15" s="24"/>
      <c r="Q15" s="24"/>
      <c r="R15" s="24"/>
      <c r="S15" s="24"/>
      <c r="T15" s="24"/>
      <c r="U15" s="24"/>
      <c r="V15" s="24"/>
      <c r="W15" s="24"/>
      <c r="X15" s="24"/>
      <c r="Y15" s="24"/>
      <c r="Z15" s="24"/>
      <c r="AA15" s="24"/>
    </row>
    <row r="16" ht="177.0" customHeight="1">
      <c r="A16" s="88" t="s">
        <v>648</v>
      </c>
      <c r="B16" s="90" t="s">
        <v>649</v>
      </c>
      <c r="C16" s="91" t="s">
        <v>650</v>
      </c>
      <c r="D16" s="93" t="s">
        <v>651</v>
      </c>
      <c r="E16" s="59"/>
      <c r="F16" s="59"/>
      <c r="G16" s="102" t="s">
        <v>652</v>
      </c>
      <c r="H16" s="103">
        <v>46245.0</v>
      </c>
      <c r="I16" s="88" t="s">
        <v>23</v>
      </c>
      <c r="J16" s="91" t="s">
        <v>653</v>
      </c>
      <c r="K16" s="24"/>
      <c r="L16" s="24"/>
      <c r="M16" s="24"/>
      <c r="N16" s="24"/>
      <c r="O16" s="24"/>
      <c r="P16" s="24"/>
      <c r="Q16" s="24"/>
      <c r="R16" s="24"/>
      <c r="S16" s="24"/>
      <c r="T16" s="24"/>
      <c r="U16" s="24"/>
      <c r="V16" s="24"/>
      <c r="W16" s="24"/>
      <c r="X16" s="24"/>
      <c r="Y16" s="24"/>
      <c r="Z16" s="24"/>
      <c r="AA16" s="24"/>
    </row>
    <row r="17" ht="15.0" customHeight="1">
      <c r="A17" s="87" t="s">
        <v>654</v>
      </c>
      <c r="B17" s="59"/>
      <c r="C17" s="59"/>
      <c r="D17" s="59"/>
      <c r="E17" s="59"/>
      <c r="F17" s="59"/>
      <c r="G17" s="59"/>
      <c r="H17" s="59"/>
      <c r="I17" s="59"/>
      <c r="J17" s="60"/>
      <c r="K17" s="24"/>
      <c r="L17" s="24"/>
      <c r="M17" s="24"/>
      <c r="N17" s="24"/>
      <c r="O17" s="24"/>
      <c r="P17" s="24"/>
      <c r="Q17" s="24"/>
      <c r="R17" s="24"/>
      <c r="S17" s="24"/>
      <c r="T17" s="24"/>
      <c r="U17" s="24"/>
      <c r="V17" s="24"/>
      <c r="W17" s="24"/>
      <c r="X17" s="24"/>
      <c r="Y17" s="24"/>
      <c r="Z17" s="24"/>
      <c r="AA17" s="24"/>
    </row>
    <row r="18" ht="177.75" customHeight="1">
      <c r="A18" s="88" t="s">
        <v>655</v>
      </c>
      <c r="B18" s="90" t="s">
        <v>656</v>
      </c>
      <c r="C18" s="91" t="s">
        <v>657</v>
      </c>
      <c r="D18" s="93" t="s">
        <v>658</v>
      </c>
      <c r="E18" s="59"/>
      <c r="F18" s="59"/>
      <c r="G18" s="102" t="s">
        <v>659</v>
      </c>
      <c r="H18" s="103">
        <v>46245.0</v>
      </c>
      <c r="I18" s="88" t="s">
        <v>23</v>
      </c>
      <c r="J18" s="91" t="s">
        <v>660</v>
      </c>
      <c r="K18" s="24"/>
      <c r="L18" s="24"/>
      <c r="M18" s="24"/>
      <c r="N18" s="24"/>
      <c r="O18" s="24"/>
      <c r="P18" s="24"/>
      <c r="Q18" s="24"/>
      <c r="R18" s="24"/>
      <c r="S18" s="24"/>
      <c r="T18" s="24"/>
      <c r="U18" s="24"/>
      <c r="V18" s="24"/>
      <c r="W18" s="24"/>
      <c r="X18" s="24"/>
      <c r="Y18" s="24"/>
      <c r="Z18" s="24"/>
      <c r="AA18" s="24"/>
    </row>
    <row r="19" ht="17.25" customHeight="1">
      <c r="A19" s="87" t="s">
        <v>661</v>
      </c>
      <c r="B19" s="59"/>
      <c r="C19" s="59"/>
      <c r="D19" s="59"/>
      <c r="E19" s="59"/>
      <c r="F19" s="59"/>
      <c r="G19" s="59"/>
      <c r="H19" s="59"/>
      <c r="I19" s="59"/>
      <c r="J19" s="60"/>
      <c r="K19" s="24"/>
      <c r="L19" s="24"/>
      <c r="M19" s="24"/>
      <c r="N19" s="24"/>
      <c r="O19" s="24"/>
      <c r="P19" s="24"/>
      <c r="Q19" s="24"/>
      <c r="R19" s="24"/>
      <c r="S19" s="24"/>
      <c r="T19" s="24"/>
      <c r="U19" s="24"/>
      <c r="V19" s="24"/>
      <c r="W19" s="24"/>
      <c r="X19" s="24"/>
      <c r="Y19" s="24"/>
      <c r="Z19" s="24"/>
      <c r="AA19" s="24"/>
    </row>
    <row r="20" ht="230.25" customHeight="1">
      <c r="A20" s="88" t="s">
        <v>662</v>
      </c>
      <c r="B20" s="90" t="s">
        <v>663</v>
      </c>
      <c r="C20" s="91" t="s">
        <v>664</v>
      </c>
      <c r="D20" s="93" t="s">
        <v>665</v>
      </c>
      <c r="E20" s="59"/>
      <c r="F20" s="59"/>
      <c r="G20" s="102" t="s">
        <v>666</v>
      </c>
      <c r="H20" s="103">
        <v>46245.0</v>
      </c>
      <c r="I20" s="88" t="s">
        <v>23</v>
      </c>
      <c r="J20" s="91" t="s">
        <v>667</v>
      </c>
      <c r="K20" s="24"/>
      <c r="L20" s="24"/>
      <c r="M20" s="24"/>
      <c r="N20" s="24"/>
      <c r="O20" s="24"/>
      <c r="P20" s="24"/>
      <c r="Q20" s="24"/>
      <c r="R20" s="24"/>
      <c r="S20" s="24"/>
      <c r="T20" s="24"/>
      <c r="U20" s="24"/>
      <c r="V20" s="24"/>
      <c r="W20" s="24"/>
      <c r="X20" s="24"/>
      <c r="Y20" s="24"/>
      <c r="Z20" s="24"/>
      <c r="AA20" s="24"/>
    </row>
    <row r="21">
      <c r="A21" s="24"/>
      <c r="B21" s="24"/>
      <c r="C21" s="24"/>
      <c r="D21" s="24"/>
      <c r="E21" s="24"/>
      <c r="F21" s="24"/>
      <c r="G21" s="24"/>
      <c r="H21" s="24"/>
      <c r="I21" s="24"/>
      <c r="J21" s="24"/>
      <c r="K21" s="24"/>
      <c r="L21" s="24"/>
      <c r="M21" s="24"/>
      <c r="N21" s="24"/>
      <c r="O21" s="24"/>
      <c r="P21" s="24"/>
      <c r="Q21" s="24"/>
      <c r="R21" s="24"/>
      <c r="S21" s="24"/>
      <c r="T21" s="24"/>
      <c r="U21" s="24"/>
      <c r="V21" s="24"/>
      <c r="W21" s="24"/>
      <c r="X21" s="24"/>
      <c r="Y21" s="135"/>
      <c r="Z21" s="135"/>
      <c r="AA21" s="24"/>
    </row>
    <row r="22" ht="128.25" customHeight="1">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row>
    <row r="23">
      <c r="A23" s="24"/>
      <c r="B23" s="24"/>
      <c r="C23" s="24"/>
      <c r="D23" s="24"/>
      <c r="E23" s="24"/>
      <c r="F23" s="24"/>
      <c r="G23" s="24"/>
      <c r="H23" s="24"/>
      <c r="I23" s="24"/>
      <c r="J23" s="24"/>
      <c r="K23" s="24"/>
      <c r="L23" s="24"/>
      <c r="M23" s="24"/>
      <c r="N23" s="24"/>
      <c r="O23" s="24"/>
      <c r="P23" s="24"/>
      <c r="Q23" s="24"/>
      <c r="R23" s="24"/>
      <c r="S23" s="24"/>
      <c r="T23" s="24"/>
      <c r="U23" s="24"/>
      <c r="V23" s="24"/>
      <c r="W23" s="24"/>
      <c r="X23" s="24"/>
      <c r="Y23" s="136"/>
      <c r="Z23" s="136"/>
      <c r="AA23" s="24"/>
    </row>
    <row r="24" ht="126.0" customHeight="1">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c r="AA24" s="24"/>
    </row>
    <row r="25" ht="152.25" customHeight="1">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row>
    <row r="26" ht="156.75" customHeight="1">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row>
    <row r="27">
      <c r="K27" s="24"/>
      <c r="L27" s="24"/>
      <c r="M27" s="24"/>
      <c r="N27" s="24"/>
      <c r="O27" s="24"/>
      <c r="P27" s="24"/>
      <c r="Q27" s="24"/>
      <c r="R27" s="24"/>
      <c r="S27" s="24"/>
      <c r="T27" s="24"/>
      <c r="U27" s="24"/>
      <c r="V27" s="24"/>
      <c r="W27" s="24"/>
      <c r="X27" s="24"/>
      <c r="Y27" s="24"/>
      <c r="Z27" s="24"/>
      <c r="AA27" s="24"/>
    </row>
    <row r="28">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row>
    <row r="29">
      <c r="K29" s="24"/>
      <c r="L29" s="24"/>
      <c r="M29" s="24"/>
      <c r="N29" s="24"/>
      <c r="O29" s="24"/>
      <c r="P29" s="24"/>
      <c r="Q29" s="24"/>
      <c r="R29" s="24"/>
      <c r="S29" s="24"/>
      <c r="T29" s="24"/>
      <c r="U29" s="24"/>
      <c r="V29" s="24"/>
      <c r="W29" s="24"/>
      <c r="X29" s="24"/>
      <c r="Y29" s="24"/>
      <c r="Z29" s="24"/>
      <c r="AA29" s="24"/>
    </row>
    <row r="30">
      <c r="A30" s="24"/>
      <c r="B30" s="24"/>
      <c r="C30" s="24"/>
      <c r="D30" s="24"/>
      <c r="E30" s="24"/>
      <c r="F30" s="24"/>
      <c r="G30" s="127"/>
      <c r="H30" s="24"/>
      <c r="I30" s="24"/>
      <c r="J30" s="24"/>
      <c r="K30" s="24"/>
      <c r="L30" s="24"/>
      <c r="M30" s="24"/>
      <c r="N30" s="24"/>
      <c r="O30" s="24"/>
      <c r="P30" s="24"/>
      <c r="Q30" s="24"/>
      <c r="R30" s="24"/>
      <c r="S30" s="24"/>
      <c r="T30" s="24"/>
      <c r="U30" s="24"/>
      <c r="V30" s="24"/>
      <c r="W30" s="24"/>
      <c r="X30" s="24"/>
      <c r="Y30" s="24"/>
      <c r="Z30" s="24"/>
      <c r="AA30" s="24"/>
    </row>
    <row r="3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row>
    <row r="32">
      <c r="K32" s="24"/>
      <c r="L32" s="24"/>
      <c r="M32" s="24"/>
      <c r="N32" s="24"/>
      <c r="O32" s="24"/>
      <c r="P32" s="24"/>
      <c r="Q32" s="24"/>
      <c r="R32" s="24"/>
      <c r="S32" s="24"/>
      <c r="T32" s="24"/>
      <c r="U32" s="24"/>
      <c r="V32" s="24"/>
      <c r="W32" s="24"/>
      <c r="X32" s="24"/>
      <c r="Y32" s="24"/>
      <c r="Z32" s="24"/>
      <c r="AA32" s="24"/>
    </row>
    <row r="33">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row>
    <row r="34">
      <c r="K34" s="24"/>
      <c r="L34" s="24"/>
      <c r="M34" s="24"/>
      <c r="N34" s="24"/>
      <c r="O34" s="24"/>
      <c r="P34" s="24"/>
      <c r="Q34" s="24"/>
      <c r="R34" s="24"/>
      <c r="S34" s="24"/>
      <c r="T34" s="24"/>
      <c r="U34" s="24"/>
      <c r="V34" s="24"/>
      <c r="W34" s="24"/>
      <c r="X34" s="24"/>
      <c r="Y34" s="24"/>
      <c r="Z34" s="24"/>
      <c r="AA34" s="24"/>
    </row>
    <row r="35">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row>
    <row r="36">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row>
    <row r="37">
      <c r="Y37" s="24"/>
      <c r="Z37" s="24"/>
      <c r="AA37" s="24"/>
    </row>
    <row r="38">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row>
    <row r="39">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row>
    <row r="40">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row>
    <row r="4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row>
    <row r="42">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row>
    <row r="43">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row>
    <row r="44">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row>
    <row r="4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row>
    <row r="46">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row>
    <row r="47">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row>
    <row r="48">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row>
    <row r="49">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row>
    <row r="50">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row>
    <row r="5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row>
    <row r="52">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row>
    <row r="53">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row>
    <row r="54">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row>
    <row r="5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row>
    <row r="56">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row>
    <row r="57">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row>
    <row r="58">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row>
    <row r="59">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row>
    <row r="60">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row>
    <row r="6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row>
    <row r="62">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row>
    <row r="63">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row>
    <row r="64">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row>
    <row r="6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row>
    <row r="66">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row>
    <row r="67">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row>
    <row r="68">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row>
    <row r="69">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row>
    <row r="70">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row>
    <row r="7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row>
    <row r="72">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row>
    <row r="73">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row>
    <row r="74">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row>
    <row r="7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row>
    <row r="76">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row>
    <row r="77">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row>
    <row r="78">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row>
    <row r="79">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row>
    <row r="80">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row>
    <row r="8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row>
    <row r="82">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row>
    <row r="83">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row>
    <row r="84">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row>
    <row r="8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row>
    <row r="86">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row>
    <row r="87">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row>
    <row r="88">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row>
    <row r="89">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row>
    <row r="90">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row>
    <row r="9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row>
    <row r="9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row>
    <row r="93">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row>
    <row r="94">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row>
    <row r="9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row>
    <row r="96">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row>
    <row r="97">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row>
    <row r="98">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row>
    <row r="99">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c r="AA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c r="AA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c r="AA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c r="AA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c r="AA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c r="AA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c r="AA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c r="AA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c r="AA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c r="AA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c r="AA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c r="AA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c r="AA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c r="AA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c r="AA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c r="AA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c r="AA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c r="AA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c r="AA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c r="AA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c r="AA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c r="AA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c r="AA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c r="AA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c r="AA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c r="AA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c r="AA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c r="AA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c r="AA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c r="AA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c r="AA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c r="AA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c r="AA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c r="AA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c r="AA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c r="AA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c r="AA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c r="AA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c r="AA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c r="AA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c r="AA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c r="AA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c r="AA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c r="AA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c r="AA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c r="AA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c r="AA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c r="AA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c r="AA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c r="AA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c r="AA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c r="AA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c r="AA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c r="AA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c r="AA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c r="AA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c r="AA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c r="AA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c r="AA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c r="AA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c r="AA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c r="AA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c r="AA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c r="AA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c r="AA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c r="AA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c r="AA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c r="AA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c r="AA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c r="AA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c r="AA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c r="AA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c r="AA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c r="AA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c r="AA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c r="AA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c r="AA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c r="AA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c r="AA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c r="AA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c r="AA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c r="AA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c r="AA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c r="AA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c r="AA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c r="AA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c r="AA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c r="AA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c r="AA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c r="AA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c r="AA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c r="AA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c r="AA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c r="AA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c r="AA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c r="AA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c r="AA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c r="AA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c r="AA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c r="AA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c r="AA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c r="AA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c r="AA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c r="AA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c r="AA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c r="AA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c r="AA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c r="AA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c r="AA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c r="AA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c r="AA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c r="AA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c r="AA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c r="AA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c r="AA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c r="AA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c r="AA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c r="AA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c r="AA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c r="AA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c r="AA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c r="AA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c r="AA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c r="AA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c r="AA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c r="AA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c r="AA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c r="AA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c r="AA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c r="AA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c r="AA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c r="AA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c r="AA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c r="AA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c r="AA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c r="AA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c r="AA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c r="AA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c r="AA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c r="AA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c r="AA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c r="AA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c r="AA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c r="AA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c r="AA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c r="AA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c r="AA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c r="AA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c r="AA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c r="AA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c r="AA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c r="AA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c r="AA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c r="AA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c r="AA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c r="AA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c r="AA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c r="AA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c r="AA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c r="AA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c r="AA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c r="AA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c r="AA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c r="AA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c r="AA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c r="AA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c r="AA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c r="AA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c r="AA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c r="AA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c r="AA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c r="AA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c r="AA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c r="AA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c r="AA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c r="AA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c r="AA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c r="AA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c r="AA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c r="AA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c r="AA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c r="AA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c r="AA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c r="AA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c r="AA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c r="AA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c r="AA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c r="AA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c r="AA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c r="AA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c r="AA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c r="AA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c r="AA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c r="AA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c r="AA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c r="AA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c r="AA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c r="AA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c r="AA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c r="AA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c r="AA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c r="AA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c r="AA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c r="AA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c r="AA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c r="AA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c r="AA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c r="AA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c r="AA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c r="AA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c r="AA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c r="AA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c r="AA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c r="AA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c r="AA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c r="AA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c r="AA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c r="AA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c r="AA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c r="AA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c r="AA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c r="AA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c r="AA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c r="AA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c r="AA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c r="AA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c r="AA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c r="AA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c r="AA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c r="AA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c r="AA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c r="AA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c r="AA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c r="AA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c r="AA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c r="AA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c r="AA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c r="AA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c r="AA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c r="AA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c r="AA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c r="AA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c r="AA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c r="AA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c r="AA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c r="AA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c r="AA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c r="AA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c r="AA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c r="AA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c r="AA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c r="AA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c r="AA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c r="AA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c r="AA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c r="AA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c r="AA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c r="AA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c r="AA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c r="AA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c r="AA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c r="AA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c r="AA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c r="AA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c r="AA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c r="AA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c r="AA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c r="AA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c r="AA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c r="AA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c r="AA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c r="AA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c r="AA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c r="AA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c r="AA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c r="AA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c r="AA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c r="AA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c r="AA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c r="AA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c r="AA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c r="AA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c r="AA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c r="AA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c r="AA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c r="AA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c r="AA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c r="AA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c r="AA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c r="AA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c r="AA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c r="AA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c r="AA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c r="AA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c r="AA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c r="AA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c r="AA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c r="AA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c r="AA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c r="AA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c r="AA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c r="AA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c r="AA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c r="AA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c r="AA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c r="AA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c r="AA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c r="AA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c r="AA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c r="AA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c r="AA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c r="AA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c r="AA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c r="AA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c r="AA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c r="AA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c r="AA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c r="AA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c r="AA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c r="AA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c r="AA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c r="AA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c r="AA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c r="AA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c r="AA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c r="AA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c r="AA977" s="24"/>
    </row>
    <row r="97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c r="AA978" s="24"/>
    </row>
    <row r="979">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c r="AA979" s="24"/>
    </row>
    <row r="980">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c r="AA980" s="24"/>
    </row>
    <row r="98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c r="AA981" s="24"/>
    </row>
    <row r="982">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c r="AA982" s="24"/>
    </row>
    <row r="983">
      <c r="Y983" s="24"/>
      <c r="Z983" s="24"/>
      <c r="AA983" s="24"/>
    </row>
    <row r="984">
      <c r="Y984" s="24"/>
      <c r="Z984" s="24"/>
      <c r="AA984" s="24"/>
    </row>
    <row r="985">
      <c r="Y985" s="24"/>
      <c r="Z985" s="24"/>
      <c r="AA985" s="24"/>
    </row>
    <row r="986">
      <c r="Y986" s="24"/>
      <c r="Z986" s="24"/>
      <c r="AA986" s="24"/>
    </row>
    <row r="987">
      <c r="Y987" s="24"/>
      <c r="Z987" s="24"/>
      <c r="AA987" s="24"/>
    </row>
    <row r="988">
      <c r="Y988" s="24"/>
      <c r="Z988" s="24"/>
      <c r="AA988" s="24"/>
    </row>
    <row r="989">
      <c r="Y989" s="24"/>
      <c r="Z989" s="24"/>
      <c r="AA989" s="24"/>
    </row>
    <row r="990">
      <c r="Y990" s="24"/>
      <c r="Z990" s="24"/>
      <c r="AA990" s="24"/>
    </row>
    <row r="991">
      <c r="Y991" s="24"/>
      <c r="Z991" s="24"/>
      <c r="AA991" s="24"/>
    </row>
    <row r="992">
      <c r="Y992" s="24"/>
      <c r="Z992" s="24"/>
      <c r="AA992" s="24"/>
    </row>
    <row r="993">
      <c r="Y993" s="24"/>
      <c r="Z993" s="24"/>
      <c r="AA993" s="24"/>
    </row>
  </sheetData>
  <mergeCells count="22">
    <mergeCell ref="B1:D2"/>
    <mergeCell ref="B3:D3"/>
    <mergeCell ref="B4:D4"/>
    <mergeCell ref="B5:D5"/>
    <mergeCell ref="A9:A10"/>
    <mergeCell ref="B9:B10"/>
    <mergeCell ref="C9:C10"/>
    <mergeCell ref="D13:F13"/>
    <mergeCell ref="A14:J14"/>
    <mergeCell ref="D15:F15"/>
    <mergeCell ref="D16:F16"/>
    <mergeCell ref="A17:J17"/>
    <mergeCell ref="D18:F18"/>
    <mergeCell ref="A19:J19"/>
    <mergeCell ref="D20:F20"/>
    <mergeCell ref="D9:F10"/>
    <mergeCell ref="G9:G10"/>
    <mergeCell ref="H9:H10"/>
    <mergeCell ref="I9:I10"/>
    <mergeCell ref="J9:J10"/>
    <mergeCell ref="B11:J11"/>
    <mergeCell ref="A12:J12"/>
  </mergeCells>
  <hyperlinks>
    <hyperlink r:id="rId1" ref="G13"/>
    <hyperlink r:id="rId2" ref="G15"/>
    <hyperlink r:id="rId3" ref="G16"/>
    <hyperlink r:id="rId4" ref="G18"/>
    <hyperlink r:id="rId5" ref="G20"/>
  </hyperlinks>
  <drawing r:id="rId6"/>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75"/>
    <col customWidth="1" min="2" max="2" width="22.13"/>
    <col customWidth="1" min="3" max="3" width="43.5"/>
    <col customWidth="1" min="6" max="6" width="19.0"/>
    <col customWidth="1" min="7" max="7" width="22.63"/>
    <col customWidth="1" min="8" max="8" width="20.13"/>
    <col customWidth="1" min="9" max="9" width="15.5"/>
    <col customWidth="1" min="10" max="10" width="21.38"/>
    <col customWidth="1" min="11" max="12" width="19.88"/>
    <col customWidth="1" min="13" max="13" width="28.13"/>
  </cols>
  <sheetData>
    <row r="1">
      <c r="A1" s="11" t="s">
        <v>3</v>
      </c>
      <c r="B1" s="18"/>
      <c r="E1" s="18"/>
      <c r="F1" s="18"/>
      <c r="G1" s="18"/>
      <c r="H1" s="18"/>
      <c r="I1" s="18"/>
      <c r="J1" s="18"/>
      <c r="K1" s="24"/>
      <c r="L1" s="24"/>
      <c r="M1" s="24"/>
      <c r="N1" s="24"/>
      <c r="O1" s="24"/>
      <c r="P1" s="24"/>
      <c r="Q1" s="24"/>
      <c r="R1" s="24"/>
      <c r="S1" s="24"/>
      <c r="T1" s="24"/>
      <c r="U1" s="24"/>
      <c r="V1" s="24"/>
      <c r="W1" s="24"/>
      <c r="X1" s="24"/>
      <c r="Y1" s="24"/>
      <c r="Z1" s="24"/>
      <c r="AA1" s="24"/>
    </row>
    <row r="2">
      <c r="A2" s="18"/>
      <c r="B2" s="44"/>
      <c r="C2" s="44"/>
      <c r="D2" s="44"/>
      <c r="E2" s="18"/>
      <c r="F2" s="18"/>
      <c r="G2" s="18"/>
      <c r="H2" s="18"/>
      <c r="I2" s="18"/>
      <c r="J2" s="18"/>
      <c r="K2" s="24"/>
      <c r="L2" s="24"/>
      <c r="M2" s="24"/>
      <c r="N2" s="24"/>
      <c r="O2" s="24"/>
      <c r="P2" s="24"/>
      <c r="Q2" s="24"/>
      <c r="R2" s="24"/>
      <c r="S2" s="24"/>
      <c r="T2" s="24"/>
      <c r="U2" s="24"/>
      <c r="V2" s="24"/>
      <c r="W2" s="24"/>
      <c r="X2" s="24"/>
      <c r="Y2" s="24"/>
      <c r="Z2" s="24"/>
      <c r="AA2" s="24"/>
    </row>
    <row r="3">
      <c r="A3" s="56" t="s">
        <v>60</v>
      </c>
      <c r="B3" s="58" t="s">
        <v>63</v>
      </c>
      <c r="C3" s="59"/>
      <c r="D3" s="60"/>
      <c r="E3" s="18"/>
      <c r="F3" s="18"/>
      <c r="G3" s="18"/>
      <c r="H3" s="18"/>
      <c r="I3" s="24"/>
      <c r="J3" s="24"/>
      <c r="K3" s="24"/>
      <c r="L3" s="24"/>
      <c r="M3" s="24"/>
      <c r="N3" s="24"/>
      <c r="O3" s="24"/>
      <c r="P3" s="24"/>
      <c r="Q3" s="24"/>
      <c r="R3" s="24"/>
      <c r="S3" s="24"/>
      <c r="T3" s="24"/>
      <c r="U3" s="24"/>
      <c r="V3" s="24"/>
      <c r="W3" s="24"/>
      <c r="X3" s="24"/>
      <c r="Y3" s="24"/>
      <c r="Z3" s="24"/>
      <c r="AA3" s="24"/>
    </row>
    <row r="4">
      <c r="A4" s="56" t="s">
        <v>69</v>
      </c>
      <c r="B4" s="61" t="s">
        <v>668</v>
      </c>
      <c r="C4" s="59"/>
      <c r="D4" s="60"/>
      <c r="E4" s="18"/>
      <c r="F4" s="18"/>
      <c r="G4" s="18"/>
      <c r="H4" s="18"/>
      <c r="I4" s="24"/>
      <c r="J4" s="24"/>
      <c r="K4" s="24"/>
      <c r="L4" s="24"/>
      <c r="M4" s="24"/>
      <c r="N4" s="24"/>
      <c r="O4" s="24"/>
      <c r="P4" s="24"/>
      <c r="Q4" s="24"/>
      <c r="R4" s="24"/>
      <c r="S4" s="24"/>
      <c r="T4" s="24"/>
      <c r="U4" s="24"/>
      <c r="V4" s="24"/>
      <c r="W4" s="24"/>
      <c r="X4" s="24"/>
      <c r="Y4" s="24"/>
      <c r="Z4" s="24"/>
      <c r="AA4" s="24"/>
    </row>
    <row r="5">
      <c r="A5" s="56" t="s">
        <v>83</v>
      </c>
      <c r="B5" s="58" t="s">
        <v>669</v>
      </c>
      <c r="C5" s="59"/>
      <c r="D5" s="60"/>
      <c r="E5" s="18"/>
      <c r="F5" s="18"/>
      <c r="G5" s="18"/>
      <c r="H5" s="18"/>
      <c r="I5" s="24"/>
      <c r="J5" s="24"/>
      <c r="K5" s="24"/>
      <c r="L5" s="24"/>
      <c r="M5" s="24"/>
      <c r="N5" s="24"/>
      <c r="O5" s="24"/>
      <c r="P5" s="24"/>
      <c r="Q5" s="24"/>
      <c r="R5" s="24"/>
      <c r="S5" s="24"/>
      <c r="T5" s="24"/>
      <c r="U5" s="24"/>
      <c r="V5" s="24"/>
      <c r="W5" s="24"/>
      <c r="X5" s="24"/>
      <c r="Y5" s="24"/>
      <c r="Z5" s="24"/>
      <c r="AA5" s="24"/>
    </row>
    <row r="6">
      <c r="A6" s="69" t="s">
        <v>23</v>
      </c>
      <c r="B6" s="70">
        <v>5.0</v>
      </c>
      <c r="C6" s="72" t="s">
        <v>25</v>
      </c>
      <c r="D6" s="73">
        <v>0.0</v>
      </c>
      <c r="E6" s="18"/>
      <c r="F6" s="18"/>
      <c r="G6" s="18"/>
      <c r="H6" s="18"/>
      <c r="I6" s="24"/>
      <c r="J6" s="24"/>
      <c r="K6" s="24"/>
      <c r="L6" s="24"/>
      <c r="M6" s="24"/>
      <c r="N6" s="24"/>
      <c r="O6" s="24"/>
      <c r="P6" s="24"/>
      <c r="Q6" s="24"/>
      <c r="R6" s="24"/>
      <c r="S6" s="24"/>
      <c r="T6" s="24"/>
      <c r="U6" s="24"/>
      <c r="V6" s="24"/>
      <c r="W6" s="24"/>
      <c r="X6" s="24"/>
      <c r="Y6" s="24"/>
      <c r="Z6" s="24"/>
      <c r="AA6" s="24"/>
    </row>
    <row r="7">
      <c r="A7" s="69" t="s">
        <v>24</v>
      </c>
      <c r="B7" s="70">
        <v>1.0</v>
      </c>
      <c r="C7" s="75" t="s">
        <v>99</v>
      </c>
      <c r="D7" s="73">
        <v>6.0</v>
      </c>
      <c r="E7" s="18"/>
      <c r="F7" s="18"/>
      <c r="G7" s="18"/>
      <c r="H7" s="18"/>
      <c r="I7" s="24"/>
      <c r="J7" s="24"/>
      <c r="K7" s="24"/>
      <c r="L7" s="24"/>
      <c r="M7" s="24"/>
      <c r="N7" s="24"/>
      <c r="O7" s="24"/>
      <c r="P7" s="24"/>
      <c r="Q7" s="24"/>
      <c r="R7" s="24"/>
      <c r="S7" s="24"/>
      <c r="T7" s="24"/>
      <c r="U7" s="24"/>
      <c r="V7" s="24"/>
      <c r="W7" s="24"/>
      <c r="X7" s="24"/>
      <c r="Y7" s="24"/>
      <c r="Z7" s="24"/>
      <c r="AA7" s="24"/>
    </row>
    <row r="8">
      <c r="A8" s="76"/>
      <c r="B8" s="77"/>
      <c r="C8" s="77"/>
      <c r="D8" s="77"/>
      <c r="E8" s="18"/>
      <c r="F8" s="18"/>
      <c r="G8" s="18"/>
      <c r="H8" s="18"/>
      <c r="I8" s="78"/>
      <c r="J8" s="78"/>
      <c r="K8" s="24"/>
      <c r="L8" s="24"/>
      <c r="M8" s="24"/>
      <c r="N8" s="24"/>
      <c r="O8" s="24"/>
      <c r="P8" s="24"/>
      <c r="Q8" s="24"/>
      <c r="R8" s="24"/>
      <c r="S8" s="24"/>
      <c r="T8" s="24"/>
      <c r="U8" s="24"/>
      <c r="V8" s="24"/>
      <c r="W8" s="24"/>
      <c r="X8" s="24"/>
      <c r="Y8" s="24"/>
      <c r="Z8" s="24"/>
      <c r="AA8" s="24"/>
    </row>
    <row r="9">
      <c r="A9" s="79" t="s">
        <v>101</v>
      </c>
      <c r="B9" s="80" t="s">
        <v>102</v>
      </c>
      <c r="C9" s="79" t="s">
        <v>103</v>
      </c>
      <c r="D9" s="81" t="s">
        <v>104</v>
      </c>
      <c r="G9" s="79" t="s">
        <v>106</v>
      </c>
      <c r="H9" s="82" t="s">
        <v>107</v>
      </c>
      <c r="I9" s="82" t="s">
        <v>109</v>
      </c>
      <c r="J9" s="82" t="s">
        <v>110</v>
      </c>
      <c r="K9" s="83" t="s">
        <v>111</v>
      </c>
      <c r="L9" s="82" t="s">
        <v>112</v>
      </c>
      <c r="M9" s="82" t="s">
        <v>113</v>
      </c>
      <c r="N9" s="24"/>
      <c r="O9" s="24"/>
      <c r="P9" s="24"/>
      <c r="Q9" s="24"/>
      <c r="R9" s="24"/>
      <c r="S9" s="24"/>
      <c r="T9" s="24"/>
      <c r="U9" s="24"/>
      <c r="V9" s="24"/>
      <c r="W9" s="24"/>
      <c r="X9" s="24"/>
      <c r="Y9" s="24"/>
      <c r="Z9" s="24"/>
      <c r="AA9" s="24"/>
    </row>
    <row r="10">
      <c r="A10" s="84"/>
      <c r="B10" s="84"/>
      <c r="C10" s="84"/>
      <c r="D10" s="85"/>
      <c r="E10" s="44"/>
      <c r="F10" s="44"/>
      <c r="G10" s="84"/>
      <c r="H10" s="84"/>
      <c r="I10" s="84"/>
      <c r="J10" s="84"/>
      <c r="K10" s="84"/>
      <c r="L10" s="84"/>
      <c r="M10" s="84"/>
      <c r="N10" s="24"/>
      <c r="O10" s="24"/>
      <c r="P10" s="24"/>
      <c r="Q10" s="24"/>
      <c r="R10" s="24"/>
      <c r="S10" s="24"/>
      <c r="T10" s="24"/>
      <c r="U10" s="24"/>
      <c r="V10" s="24"/>
      <c r="W10" s="24"/>
      <c r="X10" s="24"/>
      <c r="Y10" s="24"/>
      <c r="Z10" s="24"/>
      <c r="AA10" s="24"/>
    </row>
    <row r="11">
      <c r="A11" s="86"/>
      <c r="B11" s="77"/>
      <c r="C11" s="59"/>
      <c r="D11" s="59"/>
      <c r="E11" s="59"/>
      <c r="F11" s="59"/>
      <c r="G11" s="59"/>
      <c r="H11" s="59"/>
      <c r="I11" s="59"/>
      <c r="J11" s="59"/>
      <c r="K11" s="59"/>
      <c r="L11" s="59"/>
      <c r="M11" s="59"/>
      <c r="N11" s="24"/>
      <c r="O11" s="24"/>
      <c r="P11" s="24"/>
      <c r="Q11" s="24"/>
      <c r="R11" s="24"/>
      <c r="S11" s="24"/>
      <c r="T11" s="24"/>
      <c r="U11" s="24"/>
      <c r="V11" s="24"/>
      <c r="W11" s="24"/>
      <c r="X11" s="24"/>
      <c r="Y11" s="24"/>
      <c r="Z11" s="24"/>
      <c r="AA11" s="24"/>
    </row>
    <row r="12">
      <c r="A12" s="87" t="s">
        <v>670</v>
      </c>
      <c r="B12" s="59"/>
      <c r="C12" s="59"/>
      <c r="D12" s="59"/>
      <c r="E12" s="59"/>
      <c r="F12" s="59"/>
      <c r="G12" s="59"/>
      <c r="H12" s="59"/>
      <c r="I12" s="59"/>
      <c r="J12" s="59"/>
      <c r="K12" s="59"/>
      <c r="L12" s="59"/>
      <c r="M12" s="60"/>
      <c r="N12" s="24"/>
      <c r="O12" s="24"/>
      <c r="P12" s="24"/>
      <c r="Q12" s="24"/>
      <c r="R12" s="24"/>
      <c r="S12" s="24"/>
      <c r="T12" s="24"/>
      <c r="U12" s="24"/>
      <c r="V12" s="24"/>
      <c r="W12" s="24"/>
      <c r="X12" s="24"/>
      <c r="Y12" s="24"/>
      <c r="Z12" s="24"/>
      <c r="AA12" s="24"/>
    </row>
    <row r="13" ht="138.75" customHeight="1">
      <c r="A13" s="88" t="s">
        <v>671</v>
      </c>
      <c r="B13" s="90" t="s">
        <v>672</v>
      </c>
      <c r="C13" s="91" t="s">
        <v>673</v>
      </c>
      <c r="D13" s="93" t="s">
        <v>674</v>
      </c>
      <c r="E13" s="59"/>
      <c r="F13" s="59"/>
      <c r="G13" s="102" t="s">
        <v>675</v>
      </c>
      <c r="H13" s="103">
        <v>46246.0</v>
      </c>
      <c r="I13" s="88" t="s">
        <v>23</v>
      </c>
      <c r="J13" s="91" t="s">
        <v>676</v>
      </c>
      <c r="K13" s="104"/>
      <c r="L13" s="104"/>
      <c r="M13" s="105"/>
      <c r="N13" s="24"/>
      <c r="O13" s="24"/>
      <c r="P13" s="24"/>
      <c r="Q13" s="24"/>
      <c r="R13" s="24"/>
      <c r="S13" s="24"/>
      <c r="T13" s="24"/>
      <c r="U13" s="24"/>
      <c r="V13" s="24"/>
      <c r="W13" s="24"/>
      <c r="X13" s="24"/>
      <c r="Y13" s="24"/>
      <c r="Z13" s="24"/>
      <c r="AA13" s="24"/>
    </row>
    <row r="14" ht="156.0" customHeight="1">
      <c r="A14" s="88" t="s">
        <v>677</v>
      </c>
      <c r="B14" s="90" t="s">
        <v>678</v>
      </c>
      <c r="C14" s="91" t="s">
        <v>679</v>
      </c>
      <c r="D14" s="93" t="s">
        <v>680</v>
      </c>
      <c r="E14" s="59"/>
      <c r="F14" s="59"/>
      <c r="G14" s="102" t="s">
        <v>681</v>
      </c>
      <c r="H14" s="103">
        <v>46246.0</v>
      </c>
      <c r="I14" s="88" t="s">
        <v>23</v>
      </c>
      <c r="J14" s="91" t="s">
        <v>682</v>
      </c>
      <c r="K14" s="103"/>
      <c r="L14" s="88"/>
      <c r="M14" s="91"/>
      <c r="N14" s="24"/>
      <c r="O14" s="24"/>
      <c r="P14" s="24"/>
      <c r="Q14" s="24"/>
      <c r="R14" s="24"/>
      <c r="S14" s="24"/>
      <c r="T14" s="24"/>
      <c r="U14" s="24"/>
      <c r="V14" s="24"/>
      <c r="W14" s="24"/>
      <c r="X14" s="24"/>
      <c r="Y14" s="24"/>
      <c r="Z14" s="24"/>
      <c r="AA14" s="24"/>
    </row>
    <row r="15" ht="15.75" customHeight="1">
      <c r="A15" s="87" t="s">
        <v>683</v>
      </c>
      <c r="B15" s="59"/>
      <c r="C15" s="59"/>
      <c r="D15" s="59"/>
      <c r="E15" s="59"/>
      <c r="F15" s="59"/>
      <c r="G15" s="59"/>
      <c r="H15" s="59"/>
      <c r="I15" s="59"/>
      <c r="J15" s="59"/>
      <c r="K15" s="59"/>
      <c r="L15" s="59"/>
      <c r="M15" s="60"/>
      <c r="N15" s="24"/>
      <c r="O15" s="24"/>
      <c r="P15" s="24"/>
      <c r="Q15" s="24"/>
      <c r="R15" s="24"/>
      <c r="S15" s="24"/>
      <c r="T15" s="24"/>
      <c r="U15" s="24"/>
      <c r="V15" s="24"/>
      <c r="W15" s="24"/>
      <c r="X15" s="24"/>
      <c r="Y15" s="24"/>
      <c r="Z15" s="24"/>
      <c r="AA15" s="24"/>
    </row>
    <row r="16" ht="183.75" customHeight="1">
      <c r="A16" s="88" t="s">
        <v>684</v>
      </c>
      <c r="B16" s="90" t="s">
        <v>685</v>
      </c>
      <c r="C16" s="91" t="s">
        <v>686</v>
      </c>
      <c r="D16" s="93" t="s">
        <v>687</v>
      </c>
      <c r="E16" s="59"/>
      <c r="F16" s="59"/>
      <c r="G16" s="102" t="s">
        <v>688</v>
      </c>
      <c r="H16" s="103">
        <v>46246.0</v>
      </c>
      <c r="I16" s="88" t="s">
        <v>23</v>
      </c>
      <c r="J16" s="91" t="s">
        <v>689</v>
      </c>
      <c r="K16" s="103"/>
      <c r="L16" s="88"/>
      <c r="M16" s="91"/>
      <c r="N16" s="24"/>
      <c r="O16" s="24"/>
      <c r="P16" s="24"/>
      <c r="Q16" s="24"/>
      <c r="R16" s="24"/>
      <c r="S16" s="24"/>
      <c r="T16" s="24"/>
      <c r="U16" s="24"/>
      <c r="V16" s="24"/>
      <c r="W16" s="24"/>
      <c r="X16" s="24"/>
      <c r="Y16" s="24"/>
      <c r="Z16" s="24"/>
      <c r="AA16" s="24"/>
    </row>
    <row r="17" ht="14.25" customHeight="1">
      <c r="A17" s="87" t="s">
        <v>690</v>
      </c>
      <c r="B17" s="59"/>
      <c r="C17" s="59"/>
      <c r="D17" s="59"/>
      <c r="E17" s="59"/>
      <c r="F17" s="59"/>
      <c r="G17" s="59"/>
      <c r="H17" s="59"/>
      <c r="I17" s="59"/>
      <c r="J17" s="59"/>
      <c r="K17" s="59"/>
      <c r="L17" s="59"/>
      <c r="M17" s="60"/>
      <c r="N17" s="24"/>
      <c r="O17" s="24"/>
      <c r="P17" s="24"/>
      <c r="Q17" s="24"/>
      <c r="R17" s="24"/>
      <c r="S17" s="24"/>
      <c r="T17" s="24"/>
      <c r="U17" s="24"/>
      <c r="V17" s="24"/>
      <c r="W17" s="24"/>
      <c r="X17" s="24"/>
      <c r="Y17" s="24"/>
      <c r="Z17" s="24"/>
      <c r="AA17" s="24"/>
    </row>
    <row r="18" ht="183.75" customHeight="1">
      <c r="A18" s="88" t="s">
        <v>691</v>
      </c>
      <c r="B18" s="90" t="s">
        <v>692</v>
      </c>
      <c r="C18" s="91" t="s">
        <v>693</v>
      </c>
      <c r="D18" s="93" t="s">
        <v>694</v>
      </c>
      <c r="E18" s="59"/>
      <c r="F18" s="59"/>
      <c r="G18" s="102" t="s">
        <v>695</v>
      </c>
      <c r="H18" s="103">
        <v>46246.0</v>
      </c>
      <c r="I18" s="88" t="s">
        <v>24</v>
      </c>
      <c r="J18" s="91" t="s">
        <v>696</v>
      </c>
      <c r="K18" s="103">
        <v>46247.0</v>
      </c>
      <c r="L18" s="88" t="s">
        <v>23</v>
      </c>
      <c r="M18" s="102" t="s">
        <v>697</v>
      </c>
      <c r="N18" s="24"/>
      <c r="O18" s="24"/>
      <c r="P18" s="24"/>
      <c r="Q18" s="24"/>
      <c r="R18" s="24"/>
      <c r="S18" s="24"/>
      <c r="T18" s="24"/>
      <c r="U18" s="24"/>
      <c r="V18" s="24"/>
      <c r="W18" s="24"/>
      <c r="X18" s="24"/>
      <c r="Y18" s="24"/>
      <c r="Z18" s="24"/>
      <c r="AA18" s="24"/>
    </row>
    <row r="19">
      <c r="A19" s="87" t="s">
        <v>698</v>
      </c>
      <c r="B19" s="59"/>
      <c r="C19" s="59"/>
      <c r="D19" s="59"/>
      <c r="E19" s="59"/>
      <c r="F19" s="59"/>
      <c r="G19" s="59"/>
      <c r="H19" s="59"/>
      <c r="I19" s="59"/>
      <c r="J19" s="59"/>
      <c r="K19" s="59"/>
      <c r="L19" s="59"/>
      <c r="M19" s="60"/>
      <c r="N19" s="24"/>
      <c r="O19" s="24"/>
      <c r="P19" s="24"/>
      <c r="Q19" s="24"/>
      <c r="R19" s="24"/>
      <c r="S19" s="24"/>
      <c r="T19" s="24"/>
      <c r="U19" s="24"/>
      <c r="V19" s="24"/>
      <c r="W19" s="24"/>
      <c r="X19" s="24"/>
      <c r="Y19" s="24"/>
      <c r="Z19" s="24"/>
      <c r="AA19" s="24"/>
    </row>
    <row r="20" ht="126.75" customHeight="1">
      <c r="A20" s="88" t="s">
        <v>699</v>
      </c>
      <c r="B20" s="90" t="s">
        <v>700</v>
      </c>
      <c r="C20" s="91" t="s">
        <v>701</v>
      </c>
      <c r="D20" s="93" t="s">
        <v>702</v>
      </c>
      <c r="E20" s="59"/>
      <c r="F20" s="59"/>
      <c r="G20" s="102" t="s">
        <v>703</v>
      </c>
      <c r="H20" s="103">
        <v>46247.0</v>
      </c>
      <c r="I20" s="88" t="s">
        <v>23</v>
      </c>
      <c r="J20" s="91" t="s">
        <v>704</v>
      </c>
      <c r="K20" s="103"/>
      <c r="L20" s="88"/>
      <c r="M20" s="91"/>
      <c r="N20" s="24"/>
      <c r="O20" s="24"/>
      <c r="P20" s="24"/>
      <c r="Q20" s="24"/>
      <c r="R20" s="24"/>
      <c r="S20" s="24"/>
      <c r="T20" s="24"/>
      <c r="U20" s="24"/>
      <c r="V20" s="24"/>
      <c r="W20" s="24"/>
      <c r="X20" s="24"/>
      <c r="Y20" s="24"/>
      <c r="Z20" s="24"/>
      <c r="AA20" s="24"/>
    </row>
    <row r="21">
      <c r="A21" s="87" t="s">
        <v>705</v>
      </c>
      <c r="B21" s="59"/>
      <c r="C21" s="59"/>
      <c r="D21" s="59"/>
      <c r="E21" s="59"/>
      <c r="F21" s="59"/>
      <c r="G21" s="59"/>
      <c r="H21" s="59"/>
      <c r="I21" s="59"/>
      <c r="J21" s="59"/>
      <c r="K21" s="59"/>
      <c r="L21" s="59"/>
      <c r="M21" s="60"/>
      <c r="N21" s="135"/>
      <c r="AA21" s="24"/>
    </row>
    <row r="22" ht="186.75" customHeight="1">
      <c r="A22" s="88" t="s">
        <v>706</v>
      </c>
      <c r="B22" s="90" t="s">
        <v>707</v>
      </c>
      <c r="C22" s="91" t="s">
        <v>708</v>
      </c>
      <c r="D22" s="93" t="s">
        <v>709</v>
      </c>
      <c r="E22" s="59"/>
      <c r="F22" s="59"/>
      <c r="G22" s="130" t="s">
        <v>710</v>
      </c>
      <c r="H22" s="103">
        <v>46247.0</v>
      </c>
      <c r="I22" s="88" t="s">
        <v>23</v>
      </c>
      <c r="J22" s="91" t="s">
        <v>711</v>
      </c>
      <c r="K22" s="104"/>
      <c r="L22" s="104"/>
      <c r="M22" s="105"/>
      <c r="N22" s="24"/>
      <c r="O22" s="24"/>
      <c r="P22" s="24"/>
      <c r="Q22" s="24"/>
      <c r="R22" s="24"/>
      <c r="S22" s="24"/>
      <c r="T22" s="24"/>
      <c r="U22" s="24"/>
      <c r="V22" s="24"/>
      <c r="W22" s="24"/>
      <c r="X22" s="24"/>
      <c r="Y22" s="24"/>
      <c r="Z22" s="24"/>
      <c r="AA22" s="24"/>
    </row>
    <row r="23">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c r="AA23" s="24"/>
    </row>
    <row r="24">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c r="AA24" s="24"/>
    </row>
    <row r="25">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row>
    <row r="26">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row>
    <row r="27">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row>
    <row r="28">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row>
    <row r="29">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row>
    <row r="30">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c r="AA30" s="24"/>
    </row>
    <row r="3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row>
    <row r="32">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row>
    <row r="33">
      <c r="A33" s="24"/>
      <c r="B33" s="24"/>
      <c r="C33" s="24"/>
      <c r="D33" s="24"/>
      <c r="E33" s="24"/>
      <c r="F33" s="24"/>
      <c r="G33" s="127"/>
      <c r="H33" s="24"/>
      <c r="I33" s="24"/>
      <c r="J33" s="24"/>
      <c r="K33" s="24"/>
      <c r="L33" s="24"/>
      <c r="M33" s="24"/>
      <c r="N33" s="24"/>
      <c r="O33" s="24"/>
      <c r="P33" s="24"/>
      <c r="Q33" s="24"/>
      <c r="R33" s="24"/>
      <c r="S33" s="24"/>
      <c r="T33" s="24"/>
      <c r="U33" s="24"/>
      <c r="V33" s="24"/>
      <c r="W33" s="24"/>
      <c r="X33" s="24"/>
      <c r="Y33" s="24"/>
      <c r="Z33" s="24"/>
      <c r="AA33" s="24"/>
    </row>
    <row r="34">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row>
    <row r="35">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row>
    <row r="36">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row>
    <row r="37">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row>
    <row r="38">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row>
    <row r="39">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row>
    <row r="40">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row>
    <row r="4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row>
    <row r="42">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row>
    <row r="43">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row>
    <row r="44">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row>
    <row r="4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row>
    <row r="46">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row>
    <row r="47">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row>
    <row r="48">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row>
    <row r="49">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row>
    <row r="50">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row>
    <row r="5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row>
    <row r="52">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row>
    <row r="53">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row>
    <row r="54">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row>
    <row r="5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row>
    <row r="56">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row>
    <row r="57">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row>
    <row r="58">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row>
    <row r="59">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row>
    <row r="60">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row>
    <row r="6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row>
    <row r="62">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row>
    <row r="63">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row>
    <row r="64">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row>
    <row r="6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row>
    <row r="66">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row>
    <row r="67">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row>
    <row r="68">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row>
    <row r="69">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row>
    <row r="70">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row>
    <row r="7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row>
    <row r="72">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row>
    <row r="73">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row>
    <row r="74">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row>
    <row r="7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row>
    <row r="76">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row>
    <row r="77">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row>
    <row r="78">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row>
    <row r="79">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row>
    <row r="80">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row>
    <row r="8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row>
    <row r="82">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row>
    <row r="83">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row>
    <row r="84">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row>
    <row r="8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row>
    <row r="86">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row>
    <row r="87">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row>
    <row r="88">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row>
    <row r="89">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row>
    <row r="90">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row>
    <row r="9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row>
    <row r="9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row>
    <row r="93">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row>
    <row r="94">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row>
    <row r="9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row>
    <row r="96">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row>
    <row r="97">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row>
    <row r="98">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row>
    <row r="99">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c r="AA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c r="AA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c r="AA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c r="AA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c r="AA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c r="AA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c r="AA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c r="AA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c r="AA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c r="AA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c r="AA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c r="AA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c r="AA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c r="AA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c r="AA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c r="AA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c r="AA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c r="AA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c r="AA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c r="AA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c r="AA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c r="AA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c r="AA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c r="AA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c r="AA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c r="AA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c r="AA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c r="AA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c r="AA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c r="AA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c r="AA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c r="AA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c r="AA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c r="AA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c r="AA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c r="AA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c r="AA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c r="AA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c r="AA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c r="AA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c r="AA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c r="AA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c r="AA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c r="AA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c r="AA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c r="AA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c r="AA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c r="AA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c r="AA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c r="AA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c r="AA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c r="AA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c r="AA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c r="AA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c r="AA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c r="AA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c r="AA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c r="AA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c r="AA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c r="AA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c r="AA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c r="AA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c r="AA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c r="AA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c r="AA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c r="AA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c r="AA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c r="AA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c r="AA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c r="AA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c r="AA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c r="AA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c r="AA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c r="AA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c r="AA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c r="AA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c r="AA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c r="AA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c r="AA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c r="AA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c r="AA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c r="AA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c r="AA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c r="AA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c r="AA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c r="AA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c r="AA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c r="AA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c r="AA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c r="AA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c r="AA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c r="AA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c r="AA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c r="AA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c r="AA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c r="AA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c r="AA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c r="AA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c r="AA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c r="AA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c r="AA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c r="AA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c r="AA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c r="AA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c r="AA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c r="AA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c r="AA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c r="AA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c r="AA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c r="AA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c r="AA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c r="AA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c r="AA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c r="AA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c r="AA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c r="AA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c r="AA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c r="AA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c r="AA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c r="AA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c r="AA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c r="AA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c r="AA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c r="AA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c r="AA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c r="AA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c r="AA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c r="AA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c r="AA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c r="AA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c r="AA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c r="AA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c r="AA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c r="AA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c r="AA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c r="AA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c r="AA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c r="AA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c r="AA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c r="AA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c r="AA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c r="AA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c r="AA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c r="AA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c r="AA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c r="AA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c r="AA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c r="AA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c r="AA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c r="AA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c r="AA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c r="AA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c r="AA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c r="AA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c r="AA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c r="AA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c r="AA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c r="AA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c r="AA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c r="AA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c r="AA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c r="AA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c r="AA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c r="AA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c r="AA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c r="AA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c r="AA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c r="AA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c r="AA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c r="AA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c r="AA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c r="AA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c r="AA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c r="AA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c r="AA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c r="AA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c r="AA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c r="AA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c r="AA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c r="AA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c r="AA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c r="AA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c r="AA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c r="AA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c r="AA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c r="AA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c r="AA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c r="AA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c r="AA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c r="AA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c r="AA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c r="AA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c r="AA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c r="AA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c r="AA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c r="AA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c r="AA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c r="AA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c r="AA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c r="AA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c r="AA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c r="AA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c r="AA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c r="AA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c r="AA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c r="AA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c r="AA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c r="AA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c r="AA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c r="AA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c r="AA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c r="AA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c r="AA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c r="AA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c r="AA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c r="AA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c r="AA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c r="AA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c r="AA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c r="AA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c r="AA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c r="AA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c r="AA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c r="AA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c r="AA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c r="AA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c r="AA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c r="AA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c r="AA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c r="AA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c r="AA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c r="AA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c r="AA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c r="AA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c r="AA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c r="AA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c r="AA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c r="AA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c r="AA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c r="AA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c r="AA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c r="AA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c r="AA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c r="AA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c r="AA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c r="AA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c r="AA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c r="AA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c r="AA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c r="AA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c r="AA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c r="AA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c r="AA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c r="AA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c r="AA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c r="AA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c r="AA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c r="AA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c r="AA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c r="AA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c r="AA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c r="AA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c r="AA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c r="AA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c r="AA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c r="AA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c r="AA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c r="AA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c r="AA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c r="AA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c r="AA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c r="AA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c r="AA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c r="AA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c r="AA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c r="AA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c r="AA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c r="AA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c r="AA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c r="AA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c r="AA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c r="AA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c r="AA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c r="AA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c r="AA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c r="AA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c r="AA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c r="AA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c r="AA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c r="AA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c r="AA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c r="AA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c r="AA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c r="AA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c r="AA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c r="AA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c r="AA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c r="AA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c r="AA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c r="AA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c r="AA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c r="AA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c r="AA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c r="AA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c r="AA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c r="AA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c r="AA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c r="AA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c r="AA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c r="AA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c r="AA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c r="AA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c r="AA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c r="AA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c r="AA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c r="AA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c r="AA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c r="AA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c r="AA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c r="AA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c r="AA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c r="AA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c r="AA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c r="AA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c r="AA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c r="AA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c r="AA977" s="24"/>
    </row>
    <row r="97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c r="AA978" s="24"/>
    </row>
    <row r="979">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c r="AA979" s="24"/>
    </row>
    <row r="980">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c r="AA980" s="24"/>
    </row>
    <row r="98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c r="AA981" s="24"/>
    </row>
    <row r="982">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c r="AA982" s="24"/>
    </row>
    <row r="983">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c r="AA983" s="24"/>
    </row>
    <row r="984">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c r="AA984" s="24"/>
    </row>
    <row r="98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c r="AA985" s="24"/>
    </row>
  </sheetData>
  <mergeCells count="28">
    <mergeCell ref="B1:D2"/>
    <mergeCell ref="B3:D3"/>
    <mergeCell ref="B4:D4"/>
    <mergeCell ref="B5:D5"/>
    <mergeCell ref="A9:A10"/>
    <mergeCell ref="B9:B10"/>
    <mergeCell ref="C9:C10"/>
    <mergeCell ref="G9:G10"/>
    <mergeCell ref="H9:H10"/>
    <mergeCell ref="I9:I10"/>
    <mergeCell ref="J9:J10"/>
    <mergeCell ref="K9:K10"/>
    <mergeCell ref="L9:L10"/>
    <mergeCell ref="M9:M10"/>
    <mergeCell ref="D16:F16"/>
    <mergeCell ref="D18:F18"/>
    <mergeCell ref="D20:F20"/>
    <mergeCell ref="D22:F22"/>
    <mergeCell ref="A19:M19"/>
    <mergeCell ref="A21:M21"/>
    <mergeCell ref="N21:Z21"/>
    <mergeCell ref="D9:F10"/>
    <mergeCell ref="B11:M11"/>
    <mergeCell ref="A12:M12"/>
    <mergeCell ref="D13:F13"/>
    <mergeCell ref="D14:F14"/>
    <mergeCell ref="A15:M15"/>
    <mergeCell ref="A17:M17"/>
  </mergeCells>
  <hyperlinks>
    <hyperlink r:id="rId1" ref="G13"/>
    <hyperlink r:id="rId2" ref="G14"/>
    <hyperlink r:id="rId3" ref="G16"/>
    <hyperlink r:id="rId4" ref="G18"/>
    <hyperlink r:id="rId5" ref="M18"/>
    <hyperlink r:id="rId6" ref="G20"/>
    <hyperlink r:id="rId7" ref="G22"/>
  </hyperlinks>
  <drawing r:id="rId8"/>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75"/>
    <col customWidth="1" min="2" max="2" width="22.13"/>
    <col customWidth="1" min="3" max="3" width="43.5"/>
    <col customWidth="1" min="6" max="6" width="19.0"/>
    <col customWidth="1" min="7" max="7" width="22.63"/>
    <col customWidth="1" min="8" max="8" width="20.13"/>
    <col customWidth="1" min="9" max="9" width="15.5"/>
    <col customWidth="1" min="10" max="10" width="21.38"/>
  </cols>
  <sheetData>
    <row r="1">
      <c r="A1" s="11" t="s">
        <v>3</v>
      </c>
      <c r="B1" s="18"/>
      <c r="E1" s="18"/>
      <c r="F1" s="18"/>
      <c r="G1" s="18"/>
      <c r="H1" s="18"/>
      <c r="I1" s="18"/>
      <c r="J1" s="18"/>
      <c r="K1" s="24"/>
      <c r="L1" s="24"/>
      <c r="M1" s="24"/>
      <c r="N1" s="24"/>
      <c r="O1" s="24"/>
      <c r="P1" s="24"/>
      <c r="Q1" s="24"/>
      <c r="R1" s="24"/>
      <c r="S1" s="24"/>
      <c r="T1" s="24"/>
      <c r="U1" s="24"/>
      <c r="V1" s="24"/>
      <c r="W1" s="24"/>
      <c r="X1" s="24"/>
    </row>
    <row r="2">
      <c r="A2" s="18"/>
      <c r="B2" s="44"/>
      <c r="C2" s="44"/>
      <c r="D2" s="44"/>
      <c r="E2" s="18"/>
      <c r="F2" s="18"/>
      <c r="G2" s="18"/>
      <c r="H2" s="18"/>
      <c r="I2" s="18"/>
      <c r="J2" s="18"/>
      <c r="K2" s="24"/>
      <c r="L2" s="24"/>
      <c r="M2" s="24"/>
      <c r="N2" s="24"/>
      <c r="O2" s="24"/>
      <c r="P2" s="24"/>
      <c r="Q2" s="24"/>
      <c r="R2" s="24"/>
      <c r="S2" s="24"/>
      <c r="T2" s="24"/>
      <c r="U2" s="24"/>
      <c r="V2" s="24"/>
      <c r="W2" s="24"/>
      <c r="X2" s="24"/>
    </row>
    <row r="3">
      <c r="A3" s="56" t="s">
        <v>60</v>
      </c>
      <c r="B3" s="58" t="s">
        <v>63</v>
      </c>
      <c r="C3" s="59"/>
      <c r="D3" s="60"/>
      <c r="E3" s="18"/>
      <c r="F3" s="18"/>
      <c r="G3" s="18"/>
      <c r="H3" s="18"/>
      <c r="I3" s="24"/>
      <c r="J3" s="24"/>
      <c r="K3" s="24"/>
      <c r="L3" s="24"/>
      <c r="M3" s="24"/>
      <c r="N3" s="24"/>
      <c r="O3" s="24"/>
      <c r="P3" s="24"/>
      <c r="Q3" s="24"/>
      <c r="R3" s="24"/>
      <c r="S3" s="24"/>
      <c r="T3" s="24"/>
      <c r="U3" s="24"/>
      <c r="V3" s="24"/>
      <c r="W3" s="24"/>
      <c r="X3" s="24"/>
    </row>
    <row r="4">
      <c r="A4" s="56" t="s">
        <v>69</v>
      </c>
      <c r="B4" s="61" t="s">
        <v>712</v>
      </c>
      <c r="C4" s="59"/>
      <c r="D4" s="60"/>
      <c r="E4" s="18"/>
      <c r="F4" s="18"/>
      <c r="G4" s="18"/>
      <c r="H4" s="18"/>
      <c r="I4" s="24"/>
      <c r="J4" s="24"/>
      <c r="K4" s="24"/>
      <c r="L4" s="24"/>
      <c r="M4" s="24"/>
      <c r="N4" s="24"/>
      <c r="O4" s="24"/>
      <c r="P4" s="24"/>
      <c r="Q4" s="24"/>
      <c r="R4" s="24"/>
      <c r="S4" s="24"/>
      <c r="T4" s="24"/>
      <c r="U4" s="24"/>
      <c r="V4" s="24"/>
      <c r="W4" s="24"/>
      <c r="X4" s="24"/>
    </row>
    <row r="5">
      <c r="A5" s="56" t="s">
        <v>83</v>
      </c>
      <c r="B5" s="58" t="s">
        <v>713</v>
      </c>
      <c r="C5" s="59"/>
      <c r="D5" s="60"/>
      <c r="E5" s="18"/>
      <c r="F5" s="18"/>
      <c r="G5" s="18"/>
      <c r="H5" s="18"/>
      <c r="I5" s="24"/>
      <c r="J5" s="24"/>
      <c r="K5" s="24"/>
      <c r="L5" s="24"/>
      <c r="M5" s="24"/>
      <c r="N5" s="24"/>
      <c r="O5" s="24"/>
      <c r="P5" s="24"/>
      <c r="Q5" s="24"/>
      <c r="R5" s="24"/>
      <c r="S5" s="24"/>
      <c r="T5" s="24"/>
      <c r="U5" s="24"/>
      <c r="V5" s="24"/>
      <c r="W5" s="24"/>
      <c r="X5" s="24"/>
    </row>
    <row r="6">
      <c r="A6" s="69" t="s">
        <v>23</v>
      </c>
      <c r="B6" s="70">
        <v>5.0</v>
      </c>
      <c r="C6" s="72" t="s">
        <v>25</v>
      </c>
      <c r="D6" s="73">
        <v>0.0</v>
      </c>
      <c r="E6" s="18"/>
      <c r="F6" s="18"/>
      <c r="G6" s="18"/>
      <c r="H6" s="18"/>
      <c r="I6" s="24"/>
      <c r="J6" s="24"/>
      <c r="K6" s="24"/>
      <c r="L6" s="24"/>
      <c r="M6" s="24"/>
      <c r="N6" s="24"/>
      <c r="O6" s="24"/>
      <c r="P6" s="24"/>
      <c r="Q6" s="24"/>
      <c r="R6" s="24"/>
      <c r="S6" s="24"/>
      <c r="T6" s="24"/>
      <c r="U6" s="24"/>
      <c r="V6" s="24"/>
      <c r="W6" s="24"/>
      <c r="X6" s="24"/>
    </row>
    <row r="7">
      <c r="A7" s="69" t="s">
        <v>24</v>
      </c>
      <c r="B7" s="70">
        <v>0.0</v>
      </c>
      <c r="C7" s="75" t="s">
        <v>99</v>
      </c>
      <c r="D7" s="73">
        <v>5.0</v>
      </c>
      <c r="E7" s="18"/>
      <c r="F7" s="18"/>
      <c r="G7" s="18"/>
      <c r="H7" s="18"/>
      <c r="I7" s="24"/>
      <c r="J7" s="24"/>
      <c r="K7" s="24"/>
      <c r="L7" s="24"/>
      <c r="M7" s="24"/>
      <c r="N7" s="24"/>
      <c r="O7" s="24"/>
      <c r="P7" s="24"/>
      <c r="Q7" s="24"/>
      <c r="R7" s="24"/>
      <c r="S7" s="24"/>
      <c r="T7" s="24"/>
      <c r="U7" s="24"/>
      <c r="V7" s="24"/>
      <c r="W7" s="24"/>
      <c r="X7" s="24"/>
    </row>
    <row r="8">
      <c r="A8" s="76"/>
      <c r="B8" s="77"/>
      <c r="C8" s="77"/>
      <c r="D8" s="77"/>
      <c r="E8" s="18"/>
      <c r="F8" s="18"/>
      <c r="G8" s="18"/>
      <c r="H8" s="18"/>
      <c r="I8" s="78"/>
      <c r="J8" s="78"/>
      <c r="K8" s="24"/>
      <c r="L8" s="24"/>
      <c r="M8" s="24"/>
      <c r="N8" s="24"/>
      <c r="O8" s="24"/>
      <c r="P8" s="24"/>
      <c r="Q8" s="24"/>
      <c r="R8" s="24"/>
      <c r="S8" s="24"/>
      <c r="T8" s="24"/>
      <c r="U8" s="24"/>
      <c r="V8" s="24"/>
      <c r="W8" s="24"/>
      <c r="X8" s="24"/>
    </row>
    <row r="9">
      <c r="A9" s="79" t="s">
        <v>101</v>
      </c>
      <c r="B9" s="80" t="s">
        <v>102</v>
      </c>
      <c r="C9" s="79" t="s">
        <v>103</v>
      </c>
      <c r="D9" s="81" t="s">
        <v>104</v>
      </c>
      <c r="G9" s="79" t="s">
        <v>106</v>
      </c>
      <c r="H9" s="82" t="s">
        <v>107</v>
      </c>
      <c r="I9" s="82" t="s">
        <v>109</v>
      </c>
      <c r="J9" s="82" t="s">
        <v>110</v>
      </c>
      <c r="K9" s="24"/>
      <c r="L9" s="24"/>
      <c r="M9" s="24"/>
      <c r="N9" s="24"/>
      <c r="O9" s="24"/>
      <c r="P9" s="24"/>
      <c r="Q9" s="24"/>
      <c r="R9" s="24"/>
      <c r="S9" s="24"/>
      <c r="T9" s="24"/>
      <c r="U9" s="24"/>
      <c r="V9" s="24"/>
      <c r="W9" s="24"/>
      <c r="X9" s="24"/>
    </row>
    <row r="10">
      <c r="A10" s="84"/>
      <c r="B10" s="84"/>
      <c r="C10" s="84"/>
      <c r="D10" s="85"/>
      <c r="E10" s="44"/>
      <c r="F10" s="44"/>
      <c r="G10" s="84"/>
      <c r="H10" s="84"/>
      <c r="I10" s="84"/>
      <c r="J10" s="84"/>
      <c r="K10" s="24"/>
      <c r="L10" s="24"/>
      <c r="M10" s="24"/>
      <c r="N10" s="24"/>
      <c r="O10" s="24"/>
      <c r="P10" s="24"/>
      <c r="Q10" s="24"/>
      <c r="R10" s="24"/>
      <c r="S10" s="24"/>
      <c r="T10" s="24"/>
      <c r="U10" s="24"/>
      <c r="V10" s="24"/>
      <c r="W10" s="24"/>
      <c r="X10" s="24"/>
    </row>
    <row r="11">
      <c r="A11" s="86"/>
      <c r="B11" s="138"/>
      <c r="C11" s="59"/>
      <c r="D11" s="59"/>
      <c r="E11" s="59"/>
      <c r="F11" s="59"/>
      <c r="G11" s="59"/>
      <c r="H11" s="59"/>
      <c r="I11" s="59"/>
      <c r="J11" s="60"/>
      <c r="K11" s="24"/>
      <c r="L11" s="24"/>
      <c r="M11" s="24"/>
      <c r="N11" s="24"/>
      <c r="O11" s="24"/>
      <c r="P11" s="24"/>
      <c r="Q11" s="24"/>
      <c r="R11" s="24"/>
      <c r="S11" s="24"/>
      <c r="T11" s="24"/>
      <c r="U11" s="24"/>
      <c r="V11" s="24"/>
      <c r="W11" s="24"/>
      <c r="X11" s="24"/>
    </row>
    <row r="12">
      <c r="A12" s="87" t="s">
        <v>714</v>
      </c>
      <c r="B12" s="59"/>
      <c r="C12" s="59"/>
      <c r="D12" s="59"/>
      <c r="E12" s="59"/>
      <c r="F12" s="59"/>
      <c r="G12" s="59"/>
      <c r="H12" s="59"/>
      <c r="I12" s="59"/>
      <c r="J12" s="60"/>
      <c r="K12" s="24"/>
      <c r="L12" s="24"/>
      <c r="M12" s="24"/>
      <c r="N12" s="24"/>
      <c r="O12" s="24"/>
      <c r="P12" s="24"/>
      <c r="Q12" s="24"/>
      <c r="R12" s="24"/>
      <c r="S12" s="24"/>
      <c r="T12" s="24"/>
      <c r="U12" s="24"/>
      <c r="V12" s="24"/>
      <c r="W12" s="24"/>
      <c r="X12" s="24"/>
    </row>
    <row r="13" ht="155.25" customHeight="1">
      <c r="A13" s="88" t="s">
        <v>715</v>
      </c>
      <c r="B13" s="90" t="s">
        <v>716</v>
      </c>
      <c r="C13" s="91" t="s">
        <v>717</v>
      </c>
      <c r="D13" s="93" t="s">
        <v>718</v>
      </c>
      <c r="E13" s="59"/>
      <c r="F13" s="59"/>
      <c r="G13" s="102" t="s">
        <v>719</v>
      </c>
      <c r="H13" s="103">
        <v>46247.0</v>
      </c>
      <c r="I13" s="88" t="s">
        <v>23</v>
      </c>
      <c r="J13" s="91" t="s">
        <v>720</v>
      </c>
      <c r="K13" s="24"/>
      <c r="L13" s="24"/>
      <c r="M13" s="24"/>
      <c r="N13" s="24"/>
      <c r="O13" s="24"/>
      <c r="P13" s="24"/>
      <c r="Q13" s="24"/>
      <c r="R13" s="24"/>
      <c r="S13" s="24"/>
      <c r="T13" s="24"/>
      <c r="U13" s="24"/>
      <c r="V13" s="24"/>
      <c r="W13" s="24"/>
      <c r="X13" s="24"/>
    </row>
    <row r="14" ht="130.5" customHeight="1">
      <c r="A14" s="88" t="s">
        <v>721</v>
      </c>
      <c r="B14" s="90" t="s">
        <v>722</v>
      </c>
      <c r="C14" s="91" t="s">
        <v>723</v>
      </c>
      <c r="D14" s="93" t="s">
        <v>724</v>
      </c>
      <c r="E14" s="59"/>
      <c r="F14" s="59"/>
      <c r="G14" s="102" t="s">
        <v>725</v>
      </c>
      <c r="H14" s="103">
        <v>46247.0</v>
      </c>
      <c r="I14" s="88" t="s">
        <v>23</v>
      </c>
      <c r="J14" s="91" t="s">
        <v>726</v>
      </c>
      <c r="K14" s="24"/>
      <c r="L14" s="24"/>
      <c r="M14" s="24"/>
      <c r="N14" s="24"/>
      <c r="O14" s="24"/>
      <c r="P14" s="24"/>
      <c r="Q14" s="24"/>
      <c r="R14" s="24"/>
      <c r="S14" s="24"/>
      <c r="T14" s="24"/>
      <c r="U14" s="24"/>
      <c r="V14" s="24"/>
      <c r="W14" s="24"/>
      <c r="X14" s="24"/>
    </row>
    <row r="15" ht="130.5" customHeight="1">
      <c r="A15" s="88" t="s">
        <v>727</v>
      </c>
      <c r="B15" s="90" t="s">
        <v>728</v>
      </c>
      <c r="C15" s="91" t="s">
        <v>729</v>
      </c>
      <c r="D15" s="93" t="s">
        <v>730</v>
      </c>
      <c r="E15" s="59"/>
      <c r="F15" s="59"/>
      <c r="G15" s="102" t="s">
        <v>731</v>
      </c>
      <c r="H15" s="103">
        <v>46247.0</v>
      </c>
      <c r="I15" s="88" t="s">
        <v>23</v>
      </c>
      <c r="J15" s="91" t="s">
        <v>732</v>
      </c>
      <c r="K15" s="24"/>
      <c r="L15" s="24"/>
      <c r="M15" s="24"/>
      <c r="N15" s="24"/>
      <c r="O15" s="24"/>
      <c r="P15" s="24"/>
      <c r="Q15" s="24"/>
      <c r="R15" s="24"/>
      <c r="S15" s="24"/>
      <c r="T15" s="24"/>
      <c r="U15" s="24"/>
      <c r="V15" s="24"/>
      <c r="W15" s="24"/>
      <c r="X15" s="24"/>
    </row>
    <row r="16">
      <c r="A16" s="87" t="s">
        <v>733</v>
      </c>
      <c r="B16" s="59"/>
      <c r="C16" s="59"/>
      <c r="D16" s="59"/>
      <c r="E16" s="59"/>
      <c r="F16" s="59"/>
      <c r="G16" s="59"/>
      <c r="H16" s="59"/>
      <c r="I16" s="59"/>
      <c r="J16" s="60"/>
      <c r="K16" s="24"/>
      <c r="L16" s="24"/>
      <c r="M16" s="24"/>
      <c r="N16" s="24"/>
      <c r="O16" s="24"/>
      <c r="P16" s="24"/>
      <c r="Q16" s="24"/>
      <c r="R16" s="24"/>
      <c r="S16" s="24"/>
      <c r="T16" s="24"/>
      <c r="U16" s="24"/>
      <c r="V16" s="24"/>
      <c r="W16" s="24"/>
      <c r="X16" s="24"/>
    </row>
    <row r="17" ht="183.75" customHeight="1">
      <c r="A17" s="88" t="s">
        <v>734</v>
      </c>
      <c r="B17" s="90" t="s">
        <v>735</v>
      </c>
      <c r="C17" s="91" t="s">
        <v>736</v>
      </c>
      <c r="D17" s="93" t="s">
        <v>737</v>
      </c>
      <c r="E17" s="59"/>
      <c r="F17" s="59"/>
      <c r="G17" s="102" t="s">
        <v>738</v>
      </c>
      <c r="H17" s="103">
        <v>46247.0</v>
      </c>
      <c r="I17" s="88" t="s">
        <v>23</v>
      </c>
      <c r="J17" s="91" t="s">
        <v>739</v>
      </c>
      <c r="K17" s="24"/>
      <c r="L17" s="24"/>
      <c r="M17" s="24"/>
      <c r="N17" s="24"/>
      <c r="O17" s="24"/>
      <c r="P17" s="24"/>
      <c r="Q17" s="24"/>
      <c r="R17" s="24"/>
      <c r="S17" s="24"/>
      <c r="T17" s="24"/>
      <c r="U17" s="24"/>
      <c r="V17" s="24"/>
      <c r="W17" s="24"/>
      <c r="X17" s="24"/>
    </row>
    <row r="18" ht="183.75" customHeight="1">
      <c r="A18" s="88" t="s">
        <v>740</v>
      </c>
      <c r="B18" s="90" t="s">
        <v>741</v>
      </c>
      <c r="C18" s="91" t="s">
        <v>742</v>
      </c>
      <c r="D18" s="93" t="s">
        <v>743</v>
      </c>
      <c r="E18" s="59"/>
      <c r="F18" s="59"/>
      <c r="G18" s="102" t="s">
        <v>744</v>
      </c>
      <c r="H18" s="103">
        <v>46247.0</v>
      </c>
      <c r="I18" s="88" t="s">
        <v>23</v>
      </c>
      <c r="J18" s="91" t="s">
        <v>745</v>
      </c>
      <c r="K18" s="24"/>
      <c r="L18" s="24"/>
      <c r="M18" s="24"/>
      <c r="N18" s="24"/>
      <c r="O18" s="24"/>
      <c r="P18" s="24"/>
      <c r="Q18" s="24"/>
      <c r="R18" s="24"/>
      <c r="S18" s="24"/>
      <c r="T18" s="24"/>
      <c r="U18" s="24"/>
      <c r="V18" s="24"/>
      <c r="W18" s="24"/>
      <c r="X18" s="24"/>
    </row>
    <row r="19">
      <c r="A19" s="24"/>
      <c r="B19" s="24"/>
      <c r="C19" s="24"/>
      <c r="D19" s="24"/>
      <c r="E19" s="24"/>
      <c r="F19" s="24"/>
      <c r="G19" s="24"/>
      <c r="H19" s="24"/>
      <c r="I19" s="24"/>
      <c r="J19" s="24"/>
      <c r="K19" s="24"/>
      <c r="L19" s="24"/>
      <c r="M19" s="24"/>
      <c r="N19" s="24"/>
      <c r="O19" s="24"/>
      <c r="P19" s="24"/>
      <c r="Q19" s="24"/>
      <c r="R19" s="24"/>
      <c r="S19" s="24"/>
      <c r="T19" s="24"/>
      <c r="U19" s="24"/>
      <c r="V19" s="24"/>
      <c r="W19" s="24"/>
      <c r="X19" s="24"/>
    </row>
    <row r="20">
      <c r="A20" s="24"/>
      <c r="B20" s="24"/>
      <c r="C20" s="24"/>
      <c r="D20" s="24"/>
      <c r="E20" s="24"/>
      <c r="F20" s="24"/>
      <c r="G20" s="24"/>
      <c r="H20" s="24"/>
      <c r="I20" s="24"/>
      <c r="J20" s="24"/>
      <c r="K20" s="24"/>
      <c r="L20" s="24"/>
      <c r="M20" s="24"/>
      <c r="N20" s="24"/>
      <c r="O20" s="24"/>
      <c r="P20" s="24"/>
      <c r="Q20" s="24"/>
      <c r="R20" s="24"/>
      <c r="S20" s="24"/>
      <c r="T20" s="24"/>
      <c r="U20" s="24"/>
      <c r="V20" s="24"/>
      <c r="W20" s="24"/>
      <c r="X20" s="24"/>
    </row>
    <row r="21">
      <c r="K21" s="24"/>
      <c r="L21" s="24"/>
      <c r="M21" s="24"/>
      <c r="N21" s="24"/>
      <c r="O21" s="24"/>
      <c r="P21" s="24"/>
      <c r="Q21" s="24"/>
      <c r="R21" s="24"/>
      <c r="S21" s="24"/>
      <c r="T21" s="24"/>
      <c r="U21" s="24"/>
      <c r="V21" s="24"/>
      <c r="W21" s="24"/>
      <c r="X21" s="24"/>
    </row>
    <row r="22">
      <c r="A22" s="24"/>
      <c r="B22" s="24"/>
      <c r="C22" s="24"/>
      <c r="D22" s="24"/>
      <c r="E22" s="24"/>
      <c r="F22" s="24"/>
      <c r="G22" s="24"/>
      <c r="H22" s="24"/>
      <c r="I22" s="24"/>
      <c r="J22" s="24"/>
      <c r="K22" s="24"/>
      <c r="L22" s="24"/>
      <c r="M22" s="24"/>
      <c r="N22" s="24"/>
      <c r="O22" s="24"/>
      <c r="P22" s="24"/>
      <c r="Q22" s="24"/>
      <c r="R22" s="24"/>
      <c r="S22" s="24"/>
      <c r="T22" s="24"/>
      <c r="U22" s="24"/>
      <c r="V22" s="24"/>
      <c r="W22" s="24"/>
      <c r="X22" s="24"/>
    </row>
    <row r="23">
      <c r="A23" s="24"/>
      <c r="B23" s="24"/>
      <c r="C23" s="24"/>
      <c r="D23" s="24"/>
      <c r="E23" s="24"/>
      <c r="F23" s="24"/>
      <c r="G23" s="24"/>
      <c r="H23" s="24"/>
      <c r="I23" s="24"/>
      <c r="J23" s="24"/>
      <c r="K23" s="24"/>
      <c r="L23" s="24"/>
      <c r="M23" s="24"/>
      <c r="N23" s="24"/>
      <c r="O23" s="24"/>
      <c r="P23" s="24"/>
      <c r="Q23" s="24"/>
      <c r="R23" s="24"/>
      <c r="S23" s="24"/>
      <c r="T23" s="24"/>
      <c r="U23" s="24"/>
      <c r="V23" s="24"/>
      <c r="W23" s="24"/>
      <c r="X23" s="24"/>
    </row>
    <row r="24">
      <c r="A24" s="24"/>
      <c r="B24" s="24"/>
      <c r="C24" s="24"/>
      <c r="D24" s="24"/>
      <c r="E24" s="24"/>
      <c r="F24" s="24"/>
      <c r="G24" s="24"/>
      <c r="H24" s="24"/>
      <c r="I24" s="24"/>
      <c r="J24" s="24"/>
      <c r="K24" s="24"/>
      <c r="L24" s="24"/>
      <c r="M24" s="24"/>
      <c r="N24" s="24"/>
      <c r="O24" s="24"/>
      <c r="P24" s="24"/>
      <c r="Q24" s="24"/>
      <c r="R24" s="24"/>
      <c r="S24" s="24"/>
      <c r="T24" s="24"/>
      <c r="U24" s="24"/>
      <c r="V24" s="24"/>
      <c r="W24" s="24"/>
      <c r="X24" s="24"/>
    </row>
    <row r="25">
      <c r="A25" s="24"/>
      <c r="B25" s="24"/>
      <c r="C25" s="24"/>
      <c r="D25" s="24"/>
      <c r="E25" s="24"/>
      <c r="F25" s="24"/>
      <c r="G25" s="24"/>
      <c r="H25" s="24"/>
      <c r="I25" s="24"/>
      <c r="J25" s="24"/>
      <c r="K25" s="24"/>
      <c r="L25" s="24"/>
      <c r="M25" s="24"/>
      <c r="N25" s="24"/>
      <c r="O25" s="24"/>
      <c r="P25" s="24"/>
      <c r="Q25" s="24"/>
      <c r="R25" s="24"/>
      <c r="S25" s="24"/>
      <c r="T25" s="24"/>
      <c r="U25" s="24"/>
      <c r="V25" s="24"/>
      <c r="W25" s="24"/>
      <c r="X25" s="24"/>
    </row>
    <row r="26">
      <c r="A26" s="24"/>
      <c r="B26" s="24"/>
      <c r="C26" s="24"/>
      <c r="D26" s="24"/>
      <c r="E26" s="24"/>
      <c r="F26" s="24"/>
      <c r="G26" s="24"/>
      <c r="H26" s="24"/>
      <c r="I26" s="24"/>
      <c r="J26" s="24"/>
      <c r="K26" s="24"/>
      <c r="L26" s="24"/>
      <c r="M26" s="24"/>
      <c r="N26" s="24"/>
      <c r="O26" s="24"/>
      <c r="P26" s="24"/>
      <c r="Q26" s="24"/>
      <c r="R26" s="24"/>
      <c r="S26" s="24"/>
      <c r="T26" s="24"/>
      <c r="U26" s="24"/>
      <c r="V26" s="24"/>
      <c r="W26" s="24"/>
      <c r="X26" s="24"/>
    </row>
    <row r="27">
      <c r="A27" s="24"/>
      <c r="B27" s="24"/>
      <c r="C27" s="24"/>
      <c r="D27" s="24"/>
      <c r="E27" s="24"/>
      <c r="F27" s="24"/>
      <c r="G27" s="24"/>
      <c r="H27" s="24"/>
      <c r="I27" s="24"/>
      <c r="J27" s="24"/>
      <c r="K27" s="24"/>
      <c r="L27" s="24"/>
      <c r="M27" s="24"/>
      <c r="N27" s="24"/>
      <c r="O27" s="24"/>
      <c r="P27" s="24"/>
      <c r="Q27" s="24"/>
      <c r="R27" s="24"/>
      <c r="S27" s="24"/>
      <c r="T27" s="24"/>
      <c r="U27" s="24"/>
      <c r="V27" s="24"/>
      <c r="W27" s="24"/>
      <c r="X27" s="24"/>
    </row>
    <row r="28">
      <c r="A28" s="24"/>
      <c r="B28" s="24"/>
      <c r="C28" s="24"/>
      <c r="D28" s="24"/>
      <c r="E28" s="24"/>
      <c r="F28" s="24"/>
      <c r="G28" s="24"/>
      <c r="H28" s="24"/>
      <c r="I28" s="24"/>
      <c r="J28" s="24"/>
      <c r="K28" s="24"/>
      <c r="L28" s="24"/>
      <c r="M28" s="24"/>
      <c r="N28" s="24"/>
      <c r="O28" s="24"/>
      <c r="P28" s="24"/>
      <c r="Q28" s="24"/>
      <c r="R28" s="24"/>
      <c r="S28" s="24"/>
      <c r="T28" s="24"/>
      <c r="U28" s="24"/>
      <c r="V28" s="24"/>
      <c r="W28" s="24"/>
      <c r="X28" s="24"/>
    </row>
    <row r="29">
      <c r="A29" s="24"/>
      <c r="B29" s="24"/>
      <c r="C29" s="24"/>
      <c r="D29" s="24"/>
      <c r="E29" s="24"/>
      <c r="F29" s="24"/>
      <c r="G29" s="127"/>
      <c r="H29" s="24"/>
      <c r="I29" s="24"/>
      <c r="J29" s="24"/>
      <c r="K29" s="24"/>
      <c r="L29" s="24"/>
      <c r="M29" s="24"/>
      <c r="N29" s="24"/>
      <c r="O29" s="24"/>
      <c r="P29" s="24"/>
      <c r="Q29" s="24"/>
      <c r="R29" s="24"/>
      <c r="S29" s="24"/>
      <c r="T29" s="24"/>
      <c r="U29" s="24"/>
      <c r="V29" s="24"/>
      <c r="W29" s="24"/>
      <c r="X29" s="24"/>
    </row>
    <row r="30">
      <c r="A30" s="24"/>
      <c r="B30" s="24"/>
      <c r="C30" s="24"/>
      <c r="D30" s="24"/>
      <c r="E30" s="24"/>
      <c r="F30" s="24"/>
      <c r="G30" s="24"/>
      <c r="H30" s="24"/>
      <c r="I30" s="24"/>
      <c r="J30" s="24"/>
      <c r="K30" s="24"/>
      <c r="L30" s="24"/>
      <c r="M30" s="24"/>
      <c r="N30" s="24"/>
      <c r="O30" s="24"/>
      <c r="P30" s="24"/>
      <c r="Q30" s="24"/>
      <c r="R30" s="24"/>
      <c r="S30" s="24"/>
      <c r="T30" s="24"/>
      <c r="U30" s="24"/>
      <c r="V30" s="24"/>
      <c r="W30" s="24"/>
      <c r="X30" s="24"/>
    </row>
    <row r="31">
      <c r="A31" s="24"/>
      <c r="B31" s="24"/>
      <c r="C31" s="24"/>
      <c r="D31" s="24"/>
      <c r="E31" s="24"/>
      <c r="F31" s="24"/>
      <c r="G31" s="24"/>
      <c r="H31" s="24"/>
      <c r="I31" s="24"/>
      <c r="J31" s="24"/>
      <c r="K31" s="24"/>
      <c r="L31" s="24"/>
      <c r="M31" s="24"/>
      <c r="N31" s="24"/>
      <c r="O31" s="24"/>
      <c r="P31" s="24"/>
      <c r="Q31" s="24"/>
      <c r="R31" s="24"/>
      <c r="S31" s="24"/>
      <c r="T31" s="24"/>
      <c r="U31" s="24"/>
      <c r="V31" s="24"/>
      <c r="W31" s="24"/>
      <c r="X31" s="24"/>
    </row>
    <row r="32">
      <c r="A32" s="24"/>
      <c r="B32" s="24"/>
      <c r="C32" s="24"/>
      <c r="D32" s="24"/>
      <c r="E32" s="24"/>
      <c r="F32" s="24"/>
      <c r="G32" s="24"/>
      <c r="H32" s="24"/>
      <c r="I32" s="24"/>
      <c r="J32" s="24"/>
      <c r="K32" s="24"/>
      <c r="L32" s="24"/>
      <c r="M32" s="24"/>
      <c r="N32" s="24"/>
      <c r="O32" s="24"/>
      <c r="P32" s="24"/>
      <c r="Q32" s="24"/>
      <c r="R32" s="24"/>
      <c r="S32" s="24"/>
      <c r="T32" s="24"/>
      <c r="U32" s="24"/>
      <c r="V32" s="24"/>
      <c r="W32" s="24"/>
      <c r="X32" s="24"/>
    </row>
    <row r="33">
      <c r="A33" s="24"/>
      <c r="B33" s="24"/>
      <c r="C33" s="24"/>
      <c r="D33" s="24"/>
      <c r="E33" s="24"/>
      <c r="F33" s="24"/>
      <c r="G33" s="24"/>
      <c r="H33" s="24"/>
      <c r="I33" s="24"/>
      <c r="J33" s="24"/>
      <c r="K33" s="24"/>
      <c r="L33" s="24"/>
      <c r="M33" s="24"/>
      <c r="N33" s="24"/>
      <c r="O33" s="24"/>
      <c r="P33" s="24"/>
      <c r="Q33" s="24"/>
      <c r="R33" s="24"/>
      <c r="S33" s="24"/>
      <c r="T33" s="24"/>
      <c r="U33" s="24"/>
      <c r="V33" s="24"/>
      <c r="W33" s="24"/>
      <c r="X33" s="24"/>
    </row>
    <row r="34">
      <c r="A34" s="24"/>
      <c r="B34" s="24"/>
      <c r="C34" s="24"/>
      <c r="D34" s="24"/>
      <c r="E34" s="24"/>
      <c r="F34" s="24"/>
      <c r="G34" s="24"/>
      <c r="H34" s="24"/>
      <c r="I34" s="24"/>
      <c r="J34" s="24"/>
      <c r="K34" s="24"/>
      <c r="L34" s="24"/>
      <c r="M34" s="24"/>
      <c r="N34" s="24"/>
      <c r="O34" s="24"/>
      <c r="P34" s="24"/>
      <c r="Q34" s="24"/>
      <c r="R34" s="24"/>
      <c r="S34" s="24"/>
      <c r="T34" s="24"/>
      <c r="U34" s="24"/>
      <c r="V34" s="24"/>
      <c r="W34" s="24"/>
      <c r="X34" s="24"/>
    </row>
    <row r="35">
      <c r="A35" s="24"/>
      <c r="B35" s="24"/>
      <c r="C35" s="24"/>
      <c r="D35" s="24"/>
      <c r="E35" s="24"/>
      <c r="F35" s="24"/>
      <c r="G35" s="24"/>
      <c r="H35" s="24"/>
      <c r="I35" s="24"/>
      <c r="J35" s="24"/>
      <c r="K35" s="24"/>
      <c r="L35" s="24"/>
      <c r="M35" s="24"/>
      <c r="N35" s="24"/>
      <c r="O35" s="24"/>
      <c r="P35" s="24"/>
      <c r="Q35" s="24"/>
      <c r="R35" s="24"/>
      <c r="S35" s="24"/>
      <c r="T35" s="24"/>
      <c r="U35" s="24"/>
      <c r="V35" s="24"/>
      <c r="W35" s="24"/>
      <c r="X35" s="24"/>
    </row>
    <row r="36">
      <c r="A36" s="24"/>
      <c r="B36" s="24"/>
      <c r="C36" s="24"/>
      <c r="D36" s="24"/>
      <c r="E36" s="24"/>
      <c r="F36" s="24"/>
      <c r="G36" s="24"/>
      <c r="H36" s="24"/>
      <c r="I36" s="24"/>
      <c r="J36" s="24"/>
      <c r="K36" s="24"/>
      <c r="L36" s="24"/>
      <c r="M36" s="24"/>
      <c r="N36" s="24"/>
      <c r="O36" s="24"/>
      <c r="P36" s="24"/>
      <c r="Q36" s="24"/>
      <c r="R36" s="24"/>
      <c r="S36" s="24"/>
      <c r="T36" s="24"/>
      <c r="U36" s="24"/>
      <c r="V36" s="24"/>
      <c r="W36" s="24"/>
      <c r="X36" s="24"/>
    </row>
    <row r="37">
      <c r="A37" s="24"/>
      <c r="B37" s="24"/>
      <c r="C37" s="24"/>
      <c r="D37" s="24"/>
      <c r="E37" s="24"/>
      <c r="F37" s="24"/>
      <c r="G37" s="24"/>
      <c r="H37" s="24"/>
      <c r="I37" s="24"/>
      <c r="J37" s="24"/>
      <c r="K37" s="24"/>
      <c r="L37" s="24"/>
      <c r="M37" s="24"/>
      <c r="N37" s="24"/>
      <c r="O37" s="24"/>
      <c r="P37" s="24"/>
      <c r="Q37" s="24"/>
      <c r="R37" s="24"/>
      <c r="S37" s="24"/>
      <c r="T37" s="24"/>
      <c r="U37" s="24"/>
      <c r="V37" s="24"/>
      <c r="W37" s="24"/>
      <c r="X37" s="24"/>
    </row>
    <row r="38">
      <c r="A38" s="24"/>
      <c r="B38" s="24"/>
      <c r="C38" s="24"/>
      <c r="D38" s="24"/>
      <c r="E38" s="24"/>
      <c r="F38" s="24"/>
      <c r="G38" s="24"/>
      <c r="H38" s="24"/>
      <c r="I38" s="24"/>
      <c r="J38" s="24"/>
      <c r="K38" s="24"/>
      <c r="L38" s="24"/>
      <c r="M38" s="24"/>
      <c r="N38" s="24"/>
      <c r="O38" s="24"/>
      <c r="P38" s="24"/>
      <c r="Q38" s="24"/>
      <c r="R38" s="24"/>
      <c r="S38" s="24"/>
      <c r="T38" s="24"/>
      <c r="U38" s="24"/>
      <c r="V38" s="24"/>
      <c r="W38" s="24"/>
      <c r="X38" s="24"/>
    </row>
    <row r="39">
      <c r="A39" s="24"/>
      <c r="B39" s="24"/>
      <c r="C39" s="24"/>
      <c r="D39" s="24"/>
      <c r="E39" s="24"/>
      <c r="F39" s="24"/>
      <c r="G39" s="24"/>
      <c r="H39" s="24"/>
      <c r="I39" s="24"/>
      <c r="J39" s="24"/>
      <c r="K39" s="24"/>
      <c r="L39" s="24"/>
      <c r="M39" s="24"/>
      <c r="N39" s="24"/>
      <c r="O39" s="24"/>
      <c r="P39" s="24"/>
      <c r="Q39" s="24"/>
      <c r="R39" s="24"/>
      <c r="S39" s="24"/>
      <c r="T39" s="24"/>
      <c r="U39" s="24"/>
      <c r="V39" s="24"/>
      <c r="W39" s="24"/>
      <c r="X39" s="24"/>
    </row>
    <row r="40">
      <c r="A40" s="24"/>
      <c r="B40" s="24"/>
      <c r="C40" s="24"/>
      <c r="D40" s="24"/>
      <c r="E40" s="24"/>
      <c r="F40" s="24"/>
      <c r="G40" s="24"/>
      <c r="H40" s="24"/>
      <c r="I40" s="24"/>
      <c r="J40" s="24"/>
      <c r="K40" s="24"/>
      <c r="L40" s="24"/>
      <c r="M40" s="24"/>
      <c r="N40" s="24"/>
      <c r="O40" s="24"/>
      <c r="P40" s="24"/>
      <c r="Q40" s="24"/>
      <c r="R40" s="24"/>
      <c r="S40" s="24"/>
      <c r="T40" s="24"/>
      <c r="U40" s="24"/>
      <c r="V40" s="24"/>
      <c r="W40" s="24"/>
      <c r="X40" s="24"/>
    </row>
    <row r="41">
      <c r="A41" s="24"/>
      <c r="B41" s="24"/>
      <c r="C41" s="24"/>
      <c r="D41" s="24"/>
      <c r="E41" s="24"/>
      <c r="F41" s="24"/>
      <c r="G41" s="24"/>
      <c r="H41" s="24"/>
      <c r="I41" s="24"/>
      <c r="J41" s="24"/>
      <c r="K41" s="24"/>
      <c r="L41" s="24"/>
      <c r="M41" s="24"/>
      <c r="N41" s="24"/>
      <c r="O41" s="24"/>
      <c r="P41" s="24"/>
      <c r="Q41" s="24"/>
      <c r="R41" s="24"/>
      <c r="S41" s="24"/>
      <c r="T41" s="24"/>
      <c r="U41" s="24"/>
      <c r="V41" s="24"/>
      <c r="W41" s="24"/>
      <c r="X41" s="24"/>
    </row>
    <row r="42">
      <c r="A42" s="24"/>
      <c r="B42" s="24"/>
      <c r="C42" s="24"/>
      <c r="D42" s="24"/>
      <c r="E42" s="24"/>
      <c r="F42" s="24"/>
      <c r="G42" s="24"/>
      <c r="H42" s="24"/>
      <c r="I42" s="24"/>
      <c r="J42" s="24"/>
      <c r="K42" s="24"/>
      <c r="L42" s="24"/>
      <c r="M42" s="24"/>
      <c r="N42" s="24"/>
      <c r="O42" s="24"/>
      <c r="P42" s="24"/>
      <c r="Q42" s="24"/>
      <c r="R42" s="24"/>
      <c r="S42" s="24"/>
      <c r="T42" s="24"/>
      <c r="U42" s="24"/>
      <c r="V42" s="24"/>
      <c r="W42" s="24"/>
      <c r="X42" s="24"/>
    </row>
    <row r="43">
      <c r="A43" s="24"/>
      <c r="B43" s="24"/>
      <c r="C43" s="24"/>
      <c r="D43" s="24"/>
      <c r="E43" s="24"/>
      <c r="F43" s="24"/>
      <c r="G43" s="24"/>
      <c r="H43" s="24"/>
      <c r="I43" s="24"/>
      <c r="J43" s="24"/>
      <c r="K43" s="24"/>
      <c r="L43" s="24"/>
      <c r="M43" s="24"/>
      <c r="N43" s="24"/>
      <c r="O43" s="24"/>
      <c r="P43" s="24"/>
      <c r="Q43" s="24"/>
      <c r="R43" s="24"/>
      <c r="S43" s="24"/>
      <c r="T43" s="24"/>
      <c r="U43" s="24"/>
      <c r="V43" s="24"/>
      <c r="W43" s="24"/>
      <c r="X43" s="24"/>
    </row>
    <row r="44">
      <c r="A44" s="24"/>
      <c r="B44" s="24"/>
      <c r="C44" s="24"/>
      <c r="D44" s="24"/>
      <c r="E44" s="24"/>
      <c r="F44" s="24"/>
      <c r="G44" s="24"/>
      <c r="H44" s="24"/>
      <c r="I44" s="24"/>
      <c r="J44" s="24"/>
      <c r="K44" s="24"/>
      <c r="L44" s="24"/>
      <c r="M44" s="24"/>
      <c r="N44" s="24"/>
      <c r="O44" s="24"/>
      <c r="P44" s="24"/>
      <c r="Q44" s="24"/>
      <c r="R44" s="24"/>
      <c r="S44" s="24"/>
      <c r="T44" s="24"/>
      <c r="U44" s="24"/>
      <c r="V44" s="24"/>
      <c r="W44" s="24"/>
      <c r="X44" s="24"/>
    </row>
    <row r="45">
      <c r="A45" s="24"/>
      <c r="B45" s="24"/>
      <c r="C45" s="24"/>
      <c r="D45" s="24"/>
      <c r="E45" s="24"/>
      <c r="F45" s="24"/>
      <c r="G45" s="24"/>
      <c r="H45" s="24"/>
      <c r="I45" s="24"/>
      <c r="J45" s="24"/>
      <c r="K45" s="24"/>
      <c r="L45" s="24"/>
      <c r="M45" s="24"/>
      <c r="N45" s="24"/>
      <c r="O45" s="24"/>
      <c r="P45" s="24"/>
      <c r="Q45" s="24"/>
      <c r="R45" s="24"/>
      <c r="S45" s="24"/>
      <c r="T45" s="24"/>
      <c r="U45" s="24"/>
      <c r="V45" s="24"/>
      <c r="W45" s="24"/>
      <c r="X45" s="24"/>
    </row>
    <row r="46">
      <c r="A46" s="24"/>
      <c r="B46" s="24"/>
      <c r="C46" s="24"/>
      <c r="D46" s="24"/>
      <c r="E46" s="24"/>
      <c r="F46" s="24"/>
      <c r="G46" s="24"/>
      <c r="H46" s="24"/>
      <c r="I46" s="24"/>
      <c r="J46" s="24"/>
      <c r="K46" s="24"/>
      <c r="L46" s="24"/>
      <c r="M46" s="24"/>
      <c r="N46" s="24"/>
      <c r="O46" s="24"/>
      <c r="P46" s="24"/>
      <c r="Q46" s="24"/>
      <c r="R46" s="24"/>
      <c r="S46" s="24"/>
      <c r="T46" s="24"/>
      <c r="U46" s="24"/>
      <c r="V46" s="24"/>
      <c r="W46" s="24"/>
      <c r="X46" s="24"/>
    </row>
    <row r="47">
      <c r="A47" s="24"/>
      <c r="B47" s="24"/>
      <c r="C47" s="24"/>
      <c r="D47" s="24"/>
      <c r="E47" s="24"/>
      <c r="F47" s="24"/>
      <c r="G47" s="24"/>
      <c r="H47" s="24"/>
      <c r="I47" s="24"/>
      <c r="J47" s="24"/>
      <c r="K47" s="24"/>
      <c r="L47" s="24"/>
      <c r="M47" s="24"/>
      <c r="N47" s="24"/>
      <c r="O47" s="24"/>
      <c r="P47" s="24"/>
      <c r="Q47" s="24"/>
      <c r="R47" s="24"/>
      <c r="S47" s="24"/>
      <c r="T47" s="24"/>
      <c r="U47" s="24"/>
      <c r="V47" s="24"/>
      <c r="W47" s="24"/>
      <c r="X47" s="24"/>
    </row>
    <row r="48">
      <c r="A48" s="24"/>
      <c r="B48" s="24"/>
      <c r="C48" s="24"/>
      <c r="D48" s="24"/>
      <c r="E48" s="24"/>
      <c r="F48" s="24"/>
      <c r="G48" s="24"/>
      <c r="H48" s="24"/>
      <c r="I48" s="24"/>
      <c r="J48" s="24"/>
      <c r="K48" s="24"/>
      <c r="L48" s="24"/>
      <c r="M48" s="24"/>
      <c r="N48" s="24"/>
      <c r="O48" s="24"/>
      <c r="P48" s="24"/>
      <c r="Q48" s="24"/>
      <c r="R48" s="24"/>
      <c r="S48" s="24"/>
      <c r="T48" s="24"/>
      <c r="U48" s="24"/>
      <c r="V48" s="24"/>
      <c r="W48" s="24"/>
      <c r="X48" s="24"/>
    </row>
    <row r="49">
      <c r="A49" s="24"/>
      <c r="B49" s="24"/>
      <c r="C49" s="24"/>
      <c r="D49" s="24"/>
      <c r="E49" s="24"/>
      <c r="F49" s="24"/>
      <c r="G49" s="24"/>
      <c r="H49" s="24"/>
      <c r="I49" s="24"/>
      <c r="J49" s="24"/>
      <c r="K49" s="24"/>
      <c r="L49" s="24"/>
      <c r="M49" s="24"/>
      <c r="N49" s="24"/>
      <c r="O49" s="24"/>
      <c r="P49" s="24"/>
      <c r="Q49" s="24"/>
      <c r="R49" s="24"/>
      <c r="S49" s="24"/>
      <c r="T49" s="24"/>
      <c r="U49" s="24"/>
      <c r="V49" s="24"/>
      <c r="W49" s="24"/>
      <c r="X49" s="24"/>
    </row>
    <row r="50">
      <c r="A50" s="24"/>
      <c r="B50" s="24"/>
      <c r="C50" s="24"/>
      <c r="D50" s="24"/>
      <c r="E50" s="24"/>
      <c r="F50" s="24"/>
      <c r="G50" s="24"/>
      <c r="H50" s="24"/>
      <c r="I50" s="24"/>
      <c r="J50" s="24"/>
      <c r="K50" s="24"/>
      <c r="L50" s="24"/>
      <c r="M50" s="24"/>
      <c r="N50" s="24"/>
      <c r="O50" s="24"/>
      <c r="P50" s="24"/>
      <c r="Q50" s="24"/>
      <c r="R50" s="24"/>
      <c r="S50" s="24"/>
      <c r="T50" s="24"/>
      <c r="U50" s="24"/>
      <c r="V50" s="24"/>
      <c r="W50" s="24"/>
      <c r="X50" s="24"/>
    </row>
    <row r="51">
      <c r="A51" s="24"/>
      <c r="B51" s="24"/>
      <c r="C51" s="24"/>
      <c r="D51" s="24"/>
      <c r="E51" s="24"/>
      <c r="F51" s="24"/>
      <c r="G51" s="24"/>
      <c r="H51" s="24"/>
      <c r="I51" s="24"/>
      <c r="J51" s="24"/>
      <c r="K51" s="24"/>
      <c r="L51" s="24"/>
      <c r="M51" s="24"/>
      <c r="N51" s="24"/>
      <c r="O51" s="24"/>
      <c r="P51" s="24"/>
      <c r="Q51" s="24"/>
      <c r="R51" s="24"/>
      <c r="S51" s="24"/>
      <c r="T51" s="24"/>
      <c r="U51" s="24"/>
      <c r="V51" s="24"/>
      <c r="W51" s="24"/>
      <c r="X51" s="24"/>
    </row>
    <row r="52">
      <c r="A52" s="24"/>
      <c r="B52" s="24"/>
      <c r="C52" s="24"/>
      <c r="D52" s="24"/>
      <c r="E52" s="24"/>
      <c r="F52" s="24"/>
      <c r="G52" s="24"/>
      <c r="H52" s="24"/>
      <c r="I52" s="24"/>
      <c r="J52" s="24"/>
      <c r="K52" s="24"/>
      <c r="L52" s="24"/>
      <c r="M52" s="24"/>
      <c r="N52" s="24"/>
      <c r="O52" s="24"/>
      <c r="P52" s="24"/>
      <c r="Q52" s="24"/>
      <c r="R52" s="24"/>
      <c r="S52" s="24"/>
      <c r="T52" s="24"/>
      <c r="U52" s="24"/>
      <c r="V52" s="24"/>
      <c r="W52" s="24"/>
      <c r="X52" s="24"/>
    </row>
    <row r="53">
      <c r="A53" s="24"/>
      <c r="B53" s="24"/>
      <c r="C53" s="24"/>
      <c r="D53" s="24"/>
      <c r="E53" s="24"/>
      <c r="F53" s="24"/>
      <c r="G53" s="24"/>
      <c r="H53" s="24"/>
      <c r="I53" s="24"/>
      <c r="J53" s="24"/>
      <c r="K53" s="24"/>
      <c r="L53" s="24"/>
      <c r="M53" s="24"/>
      <c r="N53" s="24"/>
      <c r="O53" s="24"/>
      <c r="P53" s="24"/>
      <c r="Q53" s="24"/>
      <c r="R53" s="24"/>
      <c r="S53" s="24"/>
      <c r="T53" s="24"/>
      <c r="U53" s="24"/>
      <c r="V53" s="24"/>
      <c r="W53" s="24"/>
      <c r="X53" s="24"/>
    </row>
    <row r="54">
      <c r="A54" s="24"/>
      <c r="B54" s="24"/>
      <c r="C54" s="24"/>
      <c r="D54" s="24"/>
      <c r="E54" s="24"/>
      <c r="F54" s="24"/>
      <c r="G54" s="24"/>
      <c r="H54" s="24"/>
      <c r="I54" s="24"/>
      <c r="J54" s="24"/>
      <c r="K54" s="24"/>
      <c r="L54" s="24"/>
      <c r="M54" s="24"/>
      <c r="N54" s="24"/>
      <c r="O54" s="24"/>
      <c r="P54" s="24"/>
      <c r="Q54" s="24"/>
      <c r="R54" s="24"/>
      <c r="S54" s="24"/>
      <c r="T54" s="24"/>
      <c r="U54" s="24"/>
      <c r="V54" s="24"/>
      <c r="W54" s="24"/>
      <c r="X54" s="24"/>
    </row>
    <row r="55">
      <c r="A55" s="24"/>
      <c r="B55" s="24"/>
      <c r="C55" s="24"/>
      <c r="D55" s="24"/>
      <c r="E55" s="24"/>
      <c r="F55" s="24"/>
      <c r="G55" s="24"/>
      <c r="H55" s="24"/>
      <c r="I55" s="24"/>
      <c r="J55" s="24"/>
      <c r="K55" s="24"/>
      <c r="L55" s="24"/>
      <c r="M55" s="24"/>
      <c r="N55" s="24"/>
      <c r="O55" s="24"/>
      <c r="P55" s="24"/>
      <c r="Q55" s="24"/>
      <c r="R55" s="24"/>
      <c r="S55" s="24"/>
      <c r="T55" s="24"/>
      <c r="U55" s="24"/>
      <c r="V55" s="24"/>
      <c r="W55" s="24"/>
      <c r="X55" s="24"/>
    </row>
    <row r="56">
      <c r="A56" s="24"/>
      <c r="B56" s="24"/>
      <c r="C56" s="24"/>
      <c r="D56" s="24"/>
      <c r="E56" s="24"/>
      <c r="F56" s="24"/>
      <c r="G56" s="24"/>
      <c r="H56" s="24"/>
      <c r="I56" s="24"/>
      <c r="J56" s="24"/>
      <c r="K56" s="24"/>
      <c r="L56" s="24"/>
      <c r="M56" s="24"/>
      <c r="N56" s="24"/>
      <c r="O56" s="24"/>
      <c r="P56" s="24"/>
      <c r="Q56" s="24"/>
      <c r="R56" s="24"/>
      <c r="S56" s="24"/>
      <c r="T56" s="24"/>
      <c r="U56" s="24"/>
      <c r="V56" s="24"/>
      <c r="W56" s="24"/>
      <c r="X56" s="24"/>
    </row>
    <row r="57">
      <c r="A57" s="24"/>
      <c r="B57" s="24"/>
      <c r="C57" s="24"/>
      <c r="D57" s="24"/>
      <c r="E57" s="24"/>
      <c r="F57" s="24"/>
      <c r="G57" s="24"/>
      <c r="H57" s="24"/>
      <c r="I57" s="24"/>
      <c r="J57" s="24"/>
      <c r="K57" s="24"/>
      <c r="L57" s="24"/>
      <c r="M57" s="24"/>
      <c r="N57" s="24"/>
      <c r="O57" s="24"/>
      <c r="P57" s="24"/>
      <c r="Q57" s="24"/>
      <c r="R57" s="24"/>
      <c r="S57" s="24"/>
      <c r="T57" s="24"/>
      <c r="U57" s="24"/>
      <c r="V57" s="24"/>
      <c r="W57" s="24"/>
      <c r="X57" s="24"/>
    </row>
    <row r="58">
      <c r="A58" s="24"/>
      <c r="B58" s="24"/>
      <c r="C58" s="24"/>
      <c r="D58" s="24"/>
      <c r="E58" s="24"/>
      <c r="F58" s="24"/>
      <c r="G58" s="24"/>
      <c r="H58" s="24"/>
      <c r="I58" s="24"/>
      <c r="J58" s="24"/>
      <c r="K58" s="24"/>
      <c r="L58" s="24"/>
      <c r="M58" s="24"/>
      <c r="N58" s="24"/>
      <c r="O58" s="24"/>
      <c r="P58" s="24"/>
      <c r="Q58" s="24"/>
      <c r="R58" s="24"/>
      <c r="S58" s="24"/>
      <c r="T58" s="24"/>
      <c r="U58" s="24"/>
      <c r="V58" s="24"/>
      <c r="W58" s="24"/>
      <c r="X58" s="24"/>
    </row>
    <row r="59">
      <c r="A59" s="24"/>
      <c r="B59" s="24"/>
      <c r="C59" s="24"/>
      <c r="D59" s="24"/>
      <c r="E59" s="24"/>
      <c r="F59" s="24"/>
      <c r="G59" s="24"/>
      <c r="H59" s="24"/>
      <c r="I59" s="24"/>
      <c r="J59" s="24"/>
      <c r="K59" s="24"/>
      <c r="L59" s="24"/>
      <c r="M59" s="24"/>
      <c r="N59" s="24"/>
      <c r="O59" s="24"/>
      <c r="P59" s="24"/>
      <c r="Q59" s="24"/>
      <c r="R59" s="24"/>
      <c r="S59" s="24"/>
      <c r="T59" s="24"/>
      <c r="U59" s="24"/>
      <c r="V59" s="24"/>
      <c r="W59" s="24"/>
      <c r="X59" s="24"/>
    </row>
    <row r="60">
      <c r="A60" s="24"/>
      <c r="B60" s="24"/>
      <c r="C60" s="24"/>
      <c r="D60" s="24"/>
      <c r="E60" s="24"/>
      <c r="F60" s="24"/>
      <c r="G60" s="24"/>
      <c r="H60" s="24"/>
      <c r="I60" s="24"/>
      <c r="J60" s="24"/>
      <c r="K60" s="24"/>
      <c r="L60" s="24"/>
      <c r="M60" s="24"/>
      <c r="N60" s="24"/>
      <c r="O60" s="24"/>
      <c r="P60" s="24"/>
      <c r="Q60" s="24"/>
      <c r="R60" s="24"/>
      <c r="S60" s="24"/>
      <c r="T60" s="24"/>
      <c r="U60" s="24"/>
      <c r="V60" s="24"/>
      <c r="W60" s="24"/>
      <c r="X60" s="24"/>
    </row>
    <row r="61">
      <c r="A61" s="24"/>
      <c r="B61" s="24"/>
      <c r="C61" s="24"/>
      <c r="D61" s="24"/>
      <c r="E61" s="24"/>
      <c r="F61" s="24"/>
      <c r="G61" s="24"/>
      <c r="H61" s="24"/>
      <c r="I61" s="24"/>
      <c r="J61" s="24"/>
      <c r="K61" s="24"/>
      <c r="L61" s="24"/>
      <c r="M61" s="24"/>
      <c r="N61" s="24"/>
      <c r="O61" s="24"/>
      <c r="P61" s="24"/>
      <c r="Q61" s="24"/>
      <c r="R61" s="24"/>
      <c r="S61" s="24"/>
      <c r="T61" s="24"/>
      <c r="U61" s="24"/>
      <c r="V61" s="24"/>
      <c r="W61" s="24"/>
      <c r="X61" s="24"/>
    </row>
    <row r="62">
      <c r="A62" s="24"/>
      <c r="B62" s="24"/>
      <c r="C62" s="24"/>
      <c r="D62" s="24"/>
      <c r="E62" s="24"/>
      <c r="F62" s="24"/>
      <c r="G62" s="24"/>
      <c r="H62" s="24"/>
      <c r="I62" s="24"/>
      <c r="J62" s="24"/>
      <c r="K62" s="24"/>
      <c r="L62" s="24"/>
      <c r="M62" s="24"/>
      <c r="N62" s="24"/>
      <c r="O62" s="24"/>
      <c r="P62" s="24"/>
      <c r="Q62" s="24"/>
      <c r="R62" s="24"/>
      <c r="S62" s="24"/>
      <c r="T62" s="24"/>
      <c r="U62" s="24"/>
      <c r="V62" s="24"/>
      <c r="W62" s="24"/>
      <c r="X62" s="24"/>
    </row>
    <row r="63">
      <c r="A63" s="24"/>
      <c r="B63" s="24"/>
      <c r="C63" s="24"/>
      <c r="D63" s="24"/>
      <c r="E63" s="24"/>
      <c r="F63" s="24"/>
      <c r="G63" s="24"/>
      <c r="H63" s="24"/>
      <c r="I63" s="24"/>
      <c r="J63" s="24"/>
      <c r="K63" s="24"/>
      <c r="L63" s="24"/>
      <c r="M63" s="24"/>
      <c r="N63" s="24"/>
      <c r="O63" s="24"/>
      <c r="P63" s="24"/>
      <c r="Q63" s="24"/>
      <c r="R63" s="24"/>
      <c r="S63" s="24"/>
      <c r="T63" s="24"/>
      <c r="U63" s="24"/>
      <c r="V63" s="24"/>
      <c r="W63" s="24"/>
      <c r="X63" s="24"/>
    </row>
    <row r="64">
      <c r="A64" s="24"/>
      <c r="B64" s="24"/>
      <c r="C64" s="24"/>
      <c r="D64" s="24"/>
      <c r="E64" s="24"/>
      <c r="F64" s="24"/>
      <c r="G64" s="24"/>
      <c r="H64" s="24"/>
      <c r="I64" s="24"/>
      <c r="J64" s="24"/>
      <c r="K64" s="24"/>
      <c r="L64" s="24"/>
      <c r="M64" s="24"/>
      <c r="N64" s="24"/>
      <c r="O64" s="24"/>
      <c r="P64" s="24"/>
      <c r="Q64" s="24"/>
      <c r="R64" s="24"/>
      <c r="S64" s="24"/>
      <c r="T64" s="24"/>
      <c r="U64" s="24"/>
      <c r="V64" s="24"/>
      <c r="W64" s="24"/>
      <c r="X64" s="24"/>
    </row>
    <row r="65">
      <c r="A65" s="24"/>
      <c r="B65" s="24"/>
      <c r="C65" s="24"/>
      <c r="D65" s="24"/>
      <c r="E65" s="24"/>
      <c r="F65" s="24"/>
      <c r="G65" s="24"/>
      <c r="H65" s="24"/>
      <c r="I65" s="24"/>
      <c r="J65" s="24"/>
      <c r="K65" s="24"/>
      <c r="L65" s="24"/>
      <c r="M65" s="24"/>
      <c r="N65" s="24"/>
      <c r="O65" s="24"/>
      <c r="P65" s="24"/>
      <c r="Q65" s="24"/>
      <c r="R65" s="24"/>
      <c r="S65" s="24"/>
      <c r="T65" s="24"/>
      <c r="U65" s="24"/>
      <c r="V65" s="24"/>
      <c r="W65" s="24"/>
      <c r="X65" s="24"/>
    </row>
    <row r="66">
      <c r="A66" s="24"/>
      <c r="B66" s="24"/>
      <c r="C66" s="24"/>
      <c r="D66" s="24"/>
      <c r="E66" s="24"/>
      <c r="F66" s="24"/>
      <c r="G66" s="24"/>
      <c r="H66" s="24"/>
      <c r="I66" s="24"/>
      <c r="J66" s="24"/>
      <c r="K66" s="24"/>
      <c r="L66" s="24"/>
      <c r="M66" s="24"/>
      <c r="N66" s="24"/>
      <c r="O66" s="24"/>
      <c r="P66" s="24"/>
      <c r="Q66" s="24"/>
      <c r="R66" s="24"/>
      <c r="S66" s="24"/>
      <c r="T66" s="24"/>
      <c r="U66" s="24"/>
      <c r="V66" s="24"/>
      <c r="W66" s="24"/>
      <c r="X66" s="24"/>
    </row>
    <row r="67">
      <c r="A67" s="24"/>
      <c r="B67" s="24"/>
      <c r="C67" s="24"/>
      <c r="D67" s="24"/>
      <c r="E67" s="24"/>
      <c r="F67" s="24"/>
      <c r="G67" s="24"/>
      <c r="H67" s="24"/>
      <c r="I67" s="24"/>
      <c r="J67" s="24"/>
      <c r="K67" s="24"/>
      <c r="L67" s="24"/>
      <c r="M67" s="24"/>
      <c r="N67" s="24"/>
      <c r="O67" s="24"/>
      <c r="P67" s="24"/>
      <c r="Q67" s="24"/>
      <c r="R67" s="24"/>
      <c r="S67" s="24"/>
      <c r="T67" s="24"/>
      <c r="U67" s="24"/>
      <c r="V67" s="24"/>
      <c r="W67" s="24"/>
      <c r="X67" s="24"/>
    </row>
    <row r="68">
      <c r="A68" s="24"/>
      <c r="B68" s="24"/>
      <c r="C68" s="24"/>
      <c r="D68" s="24"/>
      <c r="E68" s="24"/>
      <c r="F68" s="24"/>
      <c r="G68" s="24"/>
      <c r="H68" s="24"/>
      <c r="I68" s="24"/>
      <c r="J68" s="24"/>
      <c r="K68" s="24"/>
      <c r="L68" s="24"/>
      <c r="M68" s="24"/>
      <c r="N68" s="24"/>
      <c r="O68" s="24"/>
      <c r="P68" s="24"/>
      <c r="Q68" s="24"/>
      <c r="R68" s="24"/>
      <c r="S68" s="24"/>
      <c r="T68" s="24"/>
      <c r="U68" s="24"/>
      <c r="V68" s="24"/>
      <c r="W68" s="24"/>
      <c r="X68" s="24"/>
    </row>
    <row r="69">
      <c r="A69" s="24"/>
      <c r="B69" s="24"/>
      <c r="C69" s="24"/>
      <c r="D69" s="24"/>
      <c r="E69" s="24"/>
      <c r="F69" s="24"/>
      <c r="G69" s="24"/>
      <c r="H69" s="24"/>
      <c r="I69" s="24"/>
      <c r="J69" s="24"/>
      <c r="K69" s="24"/>
      <c r="L69" s="24"/>
      <c r="M69" s="24"/>
      <c r="N69" s="24"/>
      <c r="O69" s="24"/>
      <c r="P69" s="24"/>
      <c r="Q69" s="24"/>
      <c r="R69" s="24"/>
      <c r="S69" s="24"/>
      <c r="T69" s="24"/>
      <c r="U69" s="24"/>
      <c r="V69" s="24"/>
      <c r="W69" s="24"/>
      <c r="X69" s="24"/>
    </row>
    <row r="70">
      <c r="A70" s="24"/>
      <c r="B70" s="24"/>
      <c r="C70" s="24"/>
      <c r="D70" s="24"/>
      <c r="E70" s="24"/>
      <c r="F70" s="24"/>
      <c r="G70" s="24"/>
      <c r="H70" s="24"/>
      <c r="I70" s="24"/>
      <c r="J70" s="24"/>
      <c r="K70" s="24"/>
      <c r="L70" s="24"/>
      <c r="M70" s="24"/>
      <c r="N70" s="24"/>
      <c r="O70" s="24"/>
      <c r="P70" s="24"/>
      <c r="Q70" s="24"/>
      <c r="R70" s="24"/>
      <c r="S70" s="24"/>
      <c r="T70" s="24"/>
      <c r="U70" s="24"/>
      <c r="V70" s="24"/>
      <c r="W70" s="24"/>
      <c r="X70" s="24"/>
    </row>
    <row r="71">
      <c r="A71" s="24"/>
      <c r="B71" s="24"/>
      <c r="C71" s="24"/>
      <c r="D71" s="24"/>
      <c r="E71" s="24"/>
      <c r="F71" s="24"/>
      <c r="G71" s="24"/>
      <c r="H71" s="24"/>
      <c r="I71" s="24"/>
      <c r="J71" s="24"/>
      <c r="K71" s="24"/>
      <c r="L71" s="24"/>
      <c r="M71" s="24"/>
      <c r="N71" s="24"/>
      <c r="O71" s="24"/>
      <c r="P71" s="24"/>
      <c r="Q71" s="24"/>
      <c r="R71" s="24"/>
      <c r="S71" s="24"/>
      <c r="T71" s="24"/>
      <c r="U71" s="24"/>
      <c r="V71" s="24"/>
      <c r="W71" s="24"/>
      <c r="X71" s="24"/>
    </row>
    <row r="72">
      <c r="A72" s="24"/>
      <c r="B72" s="24"/>
      <c r="C72" s="24"/>
      <c r="D72" s="24"/>
      <c r="E72" s="24"/>
      <c r="F72" s="24"/>
      <c r="G72" s="24"/>
      <c r="H72" s="24"/>
      <c r="I72" s="24"/>
      <c r="J72" s="24"/>
      <c r="K72" s="24"/>
      <c r="L72" s="24"/>
      <c r="M72" s="24"/>
      <c r="N72" s="24"/>
      <c r="O72" s="24"/>
      <c r="P72" s="24"/>
      <c r="Q72" s="24"/>
      <c r="R72" s="24"/>
      <c r="S72" s="24"/>
      <c r="T72" s="24"/>
      <c r="U72" s="24"/>
      <c r="V72" s="24"/>
      <c r="W72" s="24"/>
      <c r="X72" s="24"/>
    </row>
    <row r="73">
      <c r="A73" s="24"/>
      <c r="B73" s="24"/>
      <c r="C73" s="24"/>
      <c r="D73" s="24"/>
      <c r="E73" s="24"/>
      <c r="F73" s="24"/>
      <c r="G73" s="24"/>
      <c r="H73" s="24"/>
      <c r="I73" s="24"/>
      <c r="J73" s="24"/>
      <c r="K73" s="24"/>
      <c r="L73" s="24"/>
      <c r="M73" s="24"/>
      <c r="N73" s="24"/>
      <c r="O73" s="24"/>
      <c r="P73" s="24"/>
      <c r="Q73" s="24"/>
      <c r="R73" s="24"/>
      <c r="S73" s="24"/>
      <c r="T73" s="24"/>
      <c r="U73" s="24"/>
      <c r="V73" s="24"/>
      <c r="W73" s="24"/>
      <c r="X73" s="24"/>
    </row>
    <row r="74">
      <c r="A74" s="24"/>
      <c r="B74" s="24"/>
      <c r="C74" s="24"/>
      <c r="D74" s="24"/>
      <c r="E74" s="24"/>
      <c r="F74" s="24"/>
      <c r="G74" s="24"/>
      <c r="H74" s="24"/>
      <c r="I74" s="24"/>
      <c r="J74" s="24"/>
      <c r="K74" s="24"/>
      <c r="L74" s="24"/>
      <c r="M74" s="24"/>
      <c r="N74" s="24"/>
      <c r="O74" s="24"/>
      <c r="P74" s="24"/>
      <c r="Q74" s="24"/>
      <c r="R74" s="24"/>
      <c r="S74" s="24"/>
      <c r="T74" s="24"/>
      <c r="U74" s="24"/>
      <c r="V74" s="24"/>
      <c r="W74" s="24"/>
      <c r="X74" s="24"/>
    </row>
    <row r="75">
      <c r="A75" s="24"/>
      <c r="B75" s="24"/>
      <c r="C75" s="24"/>
      <c r="D75" s="24"/>
      <c r="E75" s="24"/>
      <c r="F75" s="24"/>
      <c r="G75" s="24"/>
      <c r="H75" s="24"/>
      <c r="I75" s="24"/>
      <c r="J75" s="24"/>
      <c r="K75" s="24"/>
      <c r="L75" s="24"/>
      <c r="M75" s="24"/>
      <c r="N75" s="24"/>
      <c r="O75" s="24"/>
      <c r="P75" s="24"/>
      <c r="Q75" s="24"/>
      <c r="R75" s="24"/>
      <c r="S75" s="24"/>
      <c r="T75" s="24"/>
      <c r="U75" s="24"/>
      <c r="V75" s="24"/>
      <c r="W75" s="24"/>
      <c r="X75" s="24"/>
    </row>
    <row r="76">
      <c r="A76" s="24"/>
      <c r="B76" s="24"/>
      <c r="C76" s="24"/>
      <c r="D76" s="24"/>
      <c r="E76" s="24"/>
      <c r="F76" s="24"/>
      <c r="G76" s="24"/>
      <c r="H76" s="24"/>
      <c r="I76" s="24"/>
      <c r="J76" s="24"/>
      <c r="K76" s="24"/>
      <c r="L76" s="24"/>
      <c r="M76" s="24"/>
      <c r="N76" s="24"/>
      <c r="O76" s="24"/>
      <c r="P76" s="24"/>
      <c r="Q76" s="24"/>
      <c r="R76" s="24"/>
      <c r="S76" s="24"/>
      <c r="T76" s="24"/>
      <c r="U76" s="24"/>
      <c r="V76" s="24"/>
      <c r="W76" s="24"/>
      <c r="X76" s="24"/>
    </row>
    <row r="77">
      <c r="A77" s="24"/>
      <c r="B77" s="24"/>
      <c r="C77" s="24"/>
      <c r="D77" s="24"/>
      <c r="E77" s="24"/>
      <c r="F77" s="24"/>
      <c r="G77" s="24"/>
      <c r="H77" s="24"/>
      <c r="I77" s="24"/>
      <c r="J77" s="24"/>
      <c r="K77" s="24"/>
      <c r="L77" s="24"/>
      <c r="M77" s="24"/>
      <c r="N77" s="24"/>
      <c r="O77" s="24"/>
      <c r="P77" s="24"/>
      <c r="Q77" s="24"/>
      <c r="R77" s="24"/>
      <c r="S77" s="24"/>
      <c r="T77" s="24"/>
      <c r="U77" s="24"/>
      <c r="V77" s="24"/>
      <c r="W77" s="24"/>
      <c r="X77" s="24"/>
    </row>
    <row r="78">
      <c r="A78" s="24"/>
      <c r="B78" s="24"/>
      <c r="C78" s="24"/>
      <c r="D78" s="24"/>
      <c r="E78" s="24"/>
      <c r="F78" s="24"/>
      <c r="G78" s="24"/>
      <c r="H78" s="24"/>
      <c r="I78" s="24"/>
      <c r="J78" s="24"/>
      <c r="K78" s="24"/>
      <c r="L78" s="24"/>
      <c r="M78" s="24"/>
      <c r="N78" s="24"/>
      <c r="O78" s="24"/>
      <c r="P78" s="24"/>
      <c r="Q78" s="24"/>
      <c r="R78" s="24"/>
      <c r="S78" s="24"/>
      <c r="T78" s="24"/>
      <c r="U78" s="24"/>
      <c r="V78" s="24"/>
      <c r="W78" s="24"/>
      <c r="X78" s="24"/>
    </row>
    <row r="79">
      <c r="A79" s="24"/>
      <c r="B79" s="24"/>
      <c r="C79" s="24"/>
      <c r="D79" s="24"/>
      <c r="E79" s="24"/>
      <c r="F79" s="24"/>
      <c r="G79" s="24"/>
      <c r="H79" s="24"/>
      <c r="I79" s="24"/>
      <c r="J79" s="24"/>
      <c r="K79" s="24"/>
      <c r="L79" s="24"/>
      <c r="M79" s="24"/>
      <c r="N79" s="24"/>
      <c r="O79" s="24"/>
      <c r="P79" s="24"/>
      <c r="Q79" s="24"/>
      <c r="R79" s="24"/>
      <c r="S79" s="24"/>
      <c r="T79" s="24"/>
      <c r="U79" s="24"/>
      <c r="V79" s="24"/>
      <c r="W79" s="24"/>
      <c r="X79" s="24"/>
    </row>
    <row r="80">
      <c r="A80" s="24"/>
      <c r="B80" s="24"/>
      <c r="C80" s="24"/>
      <c r="D80" s="24"/>
      <c r="E80" s="24"/>
      <c r="F80" s="24"/>
      <c r="G80" s="24"/>
      <c r="H80" s="24"/>
      <c r="I80" s="24"/>
      <c r="J80" s="24"/>
      <c r="K80" s="24"/>
      <c r="L80" s="24"/>
      <c r="M80" s="24"/>
      <c r="N80" s="24"/>
      <c r="O80" s="24"/>
      <c r="P80" s="24"/>
      <c r="Q80" s="24"/>
      <c r="R80" s="24"/>
      <c r="S80" s="24"/>
      <c r="T80" s="24"/>
      <c r="U80" s="24"/>
      <c r="V80" s="24"/>
      <c r="W80" s="24"/>
      <c r="X80" s="24"/>
    </row>
    <row r="81">
      <c r="A81" s="24"/>
      <c r="B81" s="24"/>
      <c r="C81" s="24"/>
      <c r="D81" s="24"/>
      <c r="E81" s="24"/>
      <c r="F81" s="24"/>
      <c r="G81" s="24"/>
      <c r="H81" s="24"/>
      <c r="I81" s="24"/>
      <c r="J81" s="24"/>
      <c r="K81" s="24"/>
      <c r="L81" s="24"/>
      <c r="M81" s="24"/>
      <c r="N81" s="24"/>
      <c r="O81" s="24"/>
      <c r="P81" s="24"/>
      <c r="Q81" s="24"/>
      <c r="R81" s="24"/>
      <c r="S81" s="24"/>
      <c r="T81" s="24"/>
      <c r="U81" s="24"/>
      <c r="V81" s="24"/>
      <c r="W81" s="24"/>
      <c r="X81" s="24"/>
    </row>
    <row r="82">
      <c r="A82" s="24"/>
      <c r="B82" s="24"/>
      <c r="C82" s="24"/>
      <c r="D82" s="24"/>
      <c r="E82" s="24"/>
      <c r="F82" s="24"/>
      <c r="G82" s="24"/>
      <c r="H82" s="24"/>
      <c r="I82" s="24"/>
      <c r="J82" s="24"/>
      <c r="K82" s="24"/>
      <c r="L82" s="24"/>
      <c r="M82" s="24"/>
      <c r="N82" s="24"/>
      <c r="O82" s="24"/>
      <c r="P82" s="24"/>
      <c r="Q82" s="24"/>
      <c r="R82" s="24"/>
      <c r="S82" s="24"/>
      <c r="T82" s="24"/>
      <c r="U82" s="24"/>
      <c r="V82" s="24"/>
      <c r="W82" s="24"/>
      <c r="X82" s="24"/>
    </row>
    <row r="83">
      <c r="A83" s="24"/>
      <c r="B83" s="24"/>
      <c r="C83" s="24"/>
      <c r="D83" s="24"/>
      <c r="E83" s="24"/>
      <c r="F83" s="24"/>
      <c r="G83" s="24"/>
      <c r="H83" s="24"/>
      <c r="I83" s="24"/>
      <c r="J83" s="24"/>
      <c r="K83" s="24"/>
      <c r="L83" s="24"/>
      <c r="M83" s="24"/>
      <c r="N83" s="24"/>
      <c r="O83" s="24"/>
      <c r="P83" s="24"/>
      <c r="Q83" s="24"/>
      <c r="R83" s="24"/>
      <c r="S83" s="24"/>
      <c r="T83" s="24"/>
      <c r="U83" s="24"/>
      <c r="V83" s="24"/>
      <c r="W83" s="24"/>
      <c r="X83" s="24"/>
    </row>
    <row r="84">
      <c r="A84" s="24"/>
      <c r="B84" s="24"/>
      <c r="C84" s="24"/>
      <c r="D84" s="24"/>
      <c r="E84" s="24"/>
      <c r="F84" s="24"/>
      <c r="G84" s="24"/>
      <c r="H84" s="24"/>
      <c r="I84" s="24"/>
      <c r="J84" s="24"/>
      <c r="K84" s="24"/>
      <c r="L84" s="24"/>
      <c r="M84" s="24"/>
      <c r="N84" s="24"/>
      <c r="O84" s="24"/>
      <c r="P84" s="24"/>
      <c r="Q84" s="24"/>
      <c r="R84" s="24"/>
      <c r="S84" s="24"/>
      <c r="T84" s="24"/>
      <c r="U84" s="24"/>
      <c r="V84" s="24"/>
      <c r="W84" s="24"/>
      <c r="X84" s="24"/>
    </row>
    <row r="85">
      <c r="A85" s="24"/>
      <c r="B85" s="24"/>
      <c r="C85" s="24"/>
      <c r="D85" s="24"/>
      <c r="E85" s="24"/>
      <c r="F85" s="24"/>
      <c r="G85" s="24"/>
      <c r="H85" s="24"/>
      <c r="I85" s="24"/>
      <c r="J85" s="24"/>
      <c r="K85" s="24"/>
      <c r="L85" s="24"/>
      <c r="M85" s="24"/>
      <c r="N85" s="24"/>
      <c r="O85" s="24"/>
      <c r="P85" s="24"/>
      <c r="Q85" s="24"/>
      <c r="R85" s="24"/>
      <c r="S85" s="24"/>
      <c r="T85" s="24"/>
      <c r="U85" s="24"/>
      <c r="V85" s="24"/>
      <c r="W85" s="24"/>
      <c r="X85" s="24"/>
    </row>
    <row r="86">
      <c r="A86" s="24"/>
      <c r="B86" s="24"/>
      <c r="C86" s="24"/>
      <c r="D86" s="24"/>
      <c r="E86" s="24"/>
      <c r="F86" s="24"/>
      <c r="G86" s="24"/>
      <c r="H86" s="24"/>
      <c r="I86" s="24"/>
      <c r="J86" s="24"/>
      <c r="K86" s="24"/>
      <c r="L86" s="24"/>
      <c r="M86" s="24"/>
      <c r="N86" s="24"/>
      <c r="O86" s="24"/>
      <c r="P86" s="24"/>
      <c r="Q86" s="24"/>
      <c r="R86" s="24"/>
      <c r="S86" s="24"/>
      <c r="T86" s="24"/>
      <c r="U86" s="24"/>
      <c r="V86" s="24"/>
      <c r="W86" s="24"/>
      <c r="X86" s="24"/>
    </row>
    <row r="87">
      <c r="A87" s="24"/>
      <c r="B87" s="24"/>
      <c r="C87" s="24"/>
      <c r="D87" s="24"/>
      <c r="E87" s="24"/>
      <c r="F87" s="24"/>
      <c r="G87" s="24"/>
      <c r="H87" s="24"/>
      <c r="I87" s="24"/>
      <c r="J87" s="24"/>
      <c r="K87" s="24"/>
      <c r="L87" s="24"/>
      <c r="M87" s="24"/>
      <c r="N87" s="24"/>
      <c r="O87" s="24"/>
      <c r="P87" s="24"/>
      <c r="Q87" s="24"/>
      <c r="R87" s="24"/>
      <c r="S87" s="24"/>
      <c r="T87" s="24"/>
      <c r="U87" s="24"/>
      <c r="V87" s="24"/>
      <c r="W87" s="24"/>
      <c r="X87" s="24"/>
    </row>
    <row r="88">
      <c r="A88" s="24"/>
      <c r="B88" s="24"/>
      <c r="C88" s="24"/>
      <c r="D88" s="24"/>
      <c r="E88" s="24"/>
      <c r="F88" s="24"/>
      <c r="G88" s="24"/>
      <c r="H88" s="24"/>
      <c r="I88" s="24"/>
      <c r="J88" s="24"/>
      <c r="K88" s="24"/>
      <c r="L88" s="24"/>
      <c r="M88" s="24"/>
      <c r="N88" s="24"/>
      <c r="O88" s="24"/>
      <c r="P88" s="24"/>
      <c r="Q88" s="24"/>
      <c r="R88" s="24"/>
      <c r="S88" s="24"/>
      <c r="T88" s="24"/>
      <c r="U88" s="24"/>
      <c r="V88" s="24"/>
      <c r="W88" s="24"/>
      <c r="X88" s="24"/>
    </row>
    <row r="89">
      <c r="A89" s="24"/>
      <c r="B89" s="24"/>
      <c r="C89" s="24"/>
      <c r="D89" s="24"/>
      <c r="E89" s="24"/>
      <c r="F89" s="24"/>
      <c r="G89" s="24"/>
      <c r="H89" s="24"/>
      <c r="I89" s="24"/>
      <c r="J89" s="24"/>
      <c r="K89" s="24"/>
      <c r="L89" s="24"/>
      <c r="M89" s="24"/>
      <c r="N89" s="24"/>
      <c r="O89" s="24"/>
      <c r="P89" s="24"/>
      <c r="Q89" s="24"/>
      <c r="R89" s="24"/>
      <c r="S89" s="24"/>
      <c r="T89" s="24"/>
      <c r="U89" s="24"/>
      <c r="V89" s="24"/>
      <c r="W89" s="24"/>
      <c r="X89" s="24"/>
    </row>
    <row r="90">
      <c r="A90" s="24"/>
      <c r="B90" s="24"/>
      <c r="C90" s="24"/>
      <c r="D90" s="24"/>
      <c r="E90" s="24"/>
      <c r="F90" s="24"/>
      <c r="G90" s="24"/>
      <c r="H90" s="24"/>
      <c r="I90" s="24"/>
      <c r="J90" s="24"/>
      <c r="K90" s="24"/>
      <c r="L90" s="24"/>
      <c r="M90" s="24"/>
      <c r="N90" s="24"/>
      <c r="O90" s="24"/>
      <c r="P90" s="24"/>
      <c r="Q90" s="24"/>
      <c r="R90" s="24"/>
      <c r="S90" s="24"/>
      <c r="T90" s="24"/>
      <c r="U90" s="24"/>
      <c r="V90" s="24"/>
      <c r="W90" s="24"/>
      <c r="X90" s="24"/>
    </row>
    <row r="91">
      <c r="A91" s="24"/>
      <c r="B91" s="24"/>
      <c r="C91" s="24"/>
      <c r="D91" s="24"/>
      <c r="E91" s="24"/>
      <c r="F91" s="24"/>
      <c r="G91" s="24"/>
      <c r="H91" s="24"/>
      <c r="I91" s="24"/>
      <c r="J91" s="24"/>
      <c r="K91" s="24"/>
      <c r="L91" s="24"/>
      <c r="M91" s="24"/>
      <c r="N91" s="24"/>
      <c r="O91" s="24"/>
      <c r="P91" s="24"/>
      <c r="Q91" s="24"/>
      <c r="R91" s="24"/>
      <c r="S91" s="24"/>
      <c r="T91" s="24"/>
      <c r="U91" s="24"/>
      <c r="V91" s="24"/>
      <c r="W91" s="24"/>
      <c r="X91" s="24"/>
    </row>
    <row r="92">
      <c r="A92" s="24"/>
      <c r="B92" s="24"/>
      <c r="C92" s="24"/>
      <c r="D92" s="24"/>
      <c r="E92" s="24"/>
      <c r="F92" s="24"/>
      <c r="G92" s="24"/>
      <c r="H92" s="24"/>
      <c r="I92" s="24"/>
      <c r="J92" s="24"/>
      <c r="K92" s="24"/>
      <c r="L92" s="24"/>
      <c r="M92" s="24"/>
      <c r="N92" s="24"/>
      <c r="O92" s="24"/>
      <c r="P92" s="24"/>
      <c r="Q92" s="24"/>
      <c r="R92" s="24"/>
      <c r="S92" s="24"/>
      <c r="T92" s="24"/>
      <c r="U92" s="24"/>
      <c r="V92" s="24"/>
      <c r="W92" s="24"/>
      <c r="X92" s="24"/>
    </row>
    <row r="93">
      <c r="A93" s="24"/>
      <c r="B93" s="24"/>
      <c r="C93" s="24"/>
      <c r="D93" s="24"/>
      <c r="E93" s="24"/>
      <c r="F93" s="24"/>
      <c r="G93" s="24"/>
      <c r="H93" s="24"/>
      <c r="I93" s="24"/>
      <c r="J93" s="24"/>
      <c r="K93" s="24"/>
      <c r="L93" s="24"/>
      <c r="M93" s="24"/>
      <c r="N93" s="24"/>
      <c r="O93" s="24"/>
      <c r="P93" s="24"/>
      <c r="Q93" s="24"/>
      <c r="R93" s="24"/>
      <c r="S93" s="24"/>
      <c r="T93" s="24"/>
      <c r="U93" s="24"/>
      <c r="V93" s="24"/>
      <c r="W93" s="24"/>
      <c r="X93" s="24"/>
    </row>
    <row r="94">
      <c r="A94" s="24"/>
      <c r="B94" s="24"/>
      <c r="C94" s="24"/>
      <c r="D94" s="24"/>
      <c r="E94" s="24"/>
      <c r="F94" s="24"/>
      <c r="G94" s="24"/>
      <c r="H94" s="24"/>
      <c r="I94" s="24"/>
      <c r="J94" s="24"/>
      <c r="K94" s="24"/>
      <c r="L94" s="24"/>
      <c r="M94" s="24"/>
      <c r="N94" s="24"/>
      <c r="O94" s="24"/>
      <c r="P94" s="24"/>
      <c r="Q94" s="24"/>
      <c r="R94" s="24"/>
      <c r="S94" s="24"/>
      <c r="T94" s="24"/>
      <c r="U94" s="24"/>
      <c r="V94" s="24"/>
      <c r="W94" s="24"/>
      <c r="X94" s="24"/>
    </row>
    <row r="95">
      <c r="A95" s="24"/>
      <c r="B95" s="24"/>
      <c r="C95" s="24"/>
      <c r="D95" s="24"/>
      <c r="E95" s="24"/>
      <c r="F95" s="24"/>
      <c r="G95" s="24"/>
      <c r="H95" s="24"/>
      <c r="I95" s="24"/>
      <c r="J95" s="24"/>
      <c r="K95" s="24"/>
      <c r="L95" s="24"/>
      <c r="M95" s="24"/>
      <c r="N95" s="24"/>
      <c r="O95" s="24"/>
      <c r="P95" s="24"/>
      <c r="Q95" s="24"/>
      <c r="R95" s="24"/>
      <c r="S95" s="24"/>
      <c r="T95" s="24"/>
      <c r="U95" s="24"/>
      <c r="V95" s="24"/>
      <c r="W95" s="24"/>
      <c r="X95" s="24"/>
    </row>
    <row r="96">
      <c r="A96" s="24"/>
      <c r="B96" s="24"/>
      <c r="C96" s="24"/>
      <c r="D96" s="24"/>
      <c r="E96" s="24"/>
      <c r="F96" s="24"/>
      <c r="G96" s="24"/>
      <c r="H96" s="24"/>
      <c r="I96" s="24"/>
      <c r="J96" s="24"/>
      <c r="K96" s="24"/>
      <c r="L96" s="24"/>
      <c r="M96" s="24"/>
      <c r="N96" s="24"/>
      <c r="O96" s="24"/>
      <c r="P96" s="24"/>
      <c r="Q96" s="24"/>
      <c r="R96" s="24"/>
      <c r="S96" s="24"/>
      <c r="T96" s="24"/>
      <c r="U96" s="24"/>
      <c r="V96" s="24"/>
      <c r="W96" s="24"/>
      <c r="X96" s="24"/>
    </row>
    <row r="97">
      <c r="A97" s="24"/>
      <c r="B97" s="24"/>
      <c r="C97" s="24"/>
      <c r="D97" s="24"/>
      <c r="E97" s="24"/>
      <c r="F97" s="24"/>
      <c r="G97" s="24"/>
      <c r="H97" s="24"/>
      <c r="I97" s="24"/>
      <c r="J97" s="24"/>
      <c r="K97" s="24"/>
      <c r="L97" s="24"/>
      <c r="M97" s="24"/>
      <c r="N97" s="24"/>
      <c r="O97" s="24"/>
      <c r="P97" s="24"/>
      <c r="Q97" s="24"/>
      <c r="R97" s="24"/>
      <c r="S97" s="24"/>
      <c r="T97" s="24"/>
      <c r="U97" s="24"/>
      <c r="V97" s="24"/>
      <c r="W97" s="24"/>
      <c r="X97" s="24"/>
    </row>
    <row r="98">
      <c r="A98" s="24"/>
      <c r="B98" s="24"/>
      <c r="C98" s="24"/>
      <c r="D98" s="24"/>
      <c r="E98" s="24"/>
      <c r="F98" s="24"/>
      <c r="G98" s="24"/>
      <c r="H98" s="24"/>
      <c r="I98" s="24"/>
      <c r="J98" s="24"/>
      <c r="K98" s="24"/>
      <c r="L98" s="24"/>
      <c r="M98" s="24"/>
      <c r="N98" s="24"/>
      <c r="O98" s="24"/>
      <c r="P98" s="24"/>
      <c r="Q98" s="24"/>
      <c r="R98" s="24"/>
      <c r="S98" s="24"/>
      <c r="T98" s="24"/>
      <c r="U98" s="24"/>
      <c r="V98" s="24"/>
      <c r="W98" s="24"/>
      <c r="X98" s="24"/>
    </row>
    <row r="99">
      <c r="A99" s="24"/>
      <c r="B99" s="24"/>
      <c r="C99" s="24"/>
      <c r="D99" s="24"/>
      <c r="E99" s="24"/>
      <c r="F99" s="24"/>
      <c r="G99" s="24"/>
      <c r="H99" s="24"/>
      <c r="I99" s="24"/>
      <c r="J99" s="24"/>
      <c r="K99" s="24"/>
      <c r="L99" s="24"/>
      <c r="M99" s="24"/>
      <c r="N99" s="24"/>
      <c r="O99" s="24"/>
      <c r="P99" s="24"/>
      <c r="Q99" s="24"/>
      <c r="R99" s="24"/>
      <c r="S99" s="24"/>
      <c r="T99" s="24"/>
      <c r="U99" s="24"/>
      <c r="V99" s="24"/>
      <c r="W99" s="24"/>
      <c r="X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row>
    <row r="97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row>
    <row r="979">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row>
    <row r="980">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row>
    <row r="98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row>
  </sheetData>
  <mergeCells count="20">
    <mergeCell ref="B1:D2"/>
    <mergeCell ref="B3:D3"/>
    <mergeCell ref="B4:D4"/>
    <mergeCell ref="B5:D5"/>
    <mergeCell ref="A9:A10"/>
    <mergeCell ref="B9:B10"/>
    <mergeCell ref="C9:C10"/>
    <mergeCell ref="D13:F13"/>
    <mergeCell ref="D14:F14"/>
    <mergeCell ref="D15:F15"/>
    <mergeCell ref="A16:J16"/>
    <mergeCell ref="D17:F17"/>
    <mergeCell ref="D18:F18"/>
    <mergeCell ref="D9:F10"/>
    <mergeCell ref="G9:G10"/>
    <mergeCell ref="H9:H10"/>
    <mergeCell ref="I9:I10"/>
    <mergeCell ref="J9:J10"/>
    <mergeCell ref="B11:J11"/>
    <mergeCell ref="A12:J12"/>
  </mergeCells>
  <hyperlinks>
    <hyperlink r:id="rId1" ref="G13"/>
    <hyperlink r:id="rId2" ref="G14"/>
    <hyperlink r:id="rId3" ref="G15"/>
    <hyperlink r:id="rId4" ref="G17"/>
    <hyperlink r:id="rId5" ref="G18"/>
  </hyperlinks>
  <drawing r:id="rId6"/>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75"/>
    <col customWidth="1" min="2" max="2" width="22.13"/>
    <col customWidth="1" min="3" max="3" width="43.5"/>
    <col customWidth="1" min="6" max="6" width="19.0"/>
    <col customWidth="1" min="7" max="7" width="22.63"/>
    <col customWidth="1" min="8" max="8" width="20.13"/>
    <col customWidth="1" min="9" max="9" width="15.5"/>
    <col customWidth="1" min="10" max="10" width="21.38"/>
    <col customWidth="1" min="11" max="12" width="19.88"/>
    <col customWidth="1" min="13" max="13" width="24.63"/>
  </cols>
  <sheetData>
    <row r="1">
      <c r="A1" s="11" t="s">
        <v>3</v>
      </c>
      <c r="B1" s="18"/>
      <c r="E1" s="18"/>
      <c r="F1" s="18"/>
      <c r="G1" s="18"/>
      <c r="H1" s="18"/>
      <c r="I1" s="18"/>
      <c r="J1" s="18"/>
      <c r="K1" s="24"/>
      <c r="L1" s="24"/>
      <c r="M1" s="24"/>
      <c r="N1" s="24"/>
      <c r="O1" s="24"/>
      <c r="P1" s="24"/>
      <c r="Q1" s="24"/>
      <c r="R1" s="24"/>
      <c r="S1" s="24"/>
      <c r="T1" s="24"/>
      <c r="U1" s="24"/>
      <c r="V1" s="24"/>
      <c r="W1" s="24"/>
      <c r="X1" s="24"/>
      <c r="Y1" s="24"/>
      <c r="Z1" s="24"/>
      <c r="AA1" s="24"/>
    </row>
    <row r="2">
      <c r="A2" s="18"/>
      <c r="B2" s="44"/>
      <c r="C2" s="44"/>
      <c r="D2" s="44"/>
      <c r="E2" s="18"/>
      <c r="F2" s="18"/>
      <c r="G2" s="18"/>
      <c r="H2" s="18"/>
      <c r="I2" s="18"/>
      <c r="J2" s="18"/>
      <c r="K2" s="24"/>
      <c r="L2" s="24"/>
      <c r="M2" s="24"/>
      <c r="N2" s="24"/>
      <c r="O2" s="24"/>
      <c r="P2" s="24"/>
      <c r="Q2" s="24"/>
      <c r="R2" s="24"/>
      <c r="S2" s="24"/>
      <c r="T2" s="24"/>
      <c r="U2" s="24"/>
      <c r="V2" s="24"/>
      <c r="W2" s="24"/>
      <c r="X2" s="24"/>
      <c r="Y2" s="24"/>
      <c r="Z2" s="24"/>
      <c r="AA2" s="24"/>
    </row>
    <row r="3">
      <c r="A3" s="56" t="s">
        <v>60</v>
      </c>
      <c r="B3" s="58" t="s">
        <v>63</v>
      </c>
      <c r="C3" s="59"/>
      <c r="D3" s="60"/>
      <c r="E3" s="18"/>
      <c r="F3" s="18"/>
      <c r="G3" s="18"/>
      <c r="H3" s="18"/>
      <c r="I3" s="24"/>
      <c r="J3" s="24"/>
      <c r="K3" s="24"/>
      <c r="L3" s="24"/>
      <c r="M3" s="24"/>
      <c r="N3" s="24"/>
      <c r="O3" s="24"/>
      <c r="P3" s="24"/>
      <c r="Q3" s="24"/>
      <c r="R3" s="24"/>
      <c r="S3" s="24"/>
      <c r="T3" s="24"/>
      <c r="U3" s="24"/>
      <c r="V3" s="24"/>
      <c r="W3" s="24"/>
      <c r="X3" s="24"/>
      <c r="Y3" s="24"/>
      <c r="Z3" s="24"/>
      <c r="AA3" s="24"/>
    </row>
    <row r="4">
      <c r="A4" s="56" t="s">
        <v>69</v>
      </c>
      <c r="B4" s="61" t="s">
        <v>746</v>
      </c>
      <c r="C4" s="59"/>
      <c r="D4" s="60"/>
      <c r="E4" s="18"/>
      <c r="F4" s="18"/>
      <c r="G4" s="18"/>
      <c r="H4" s="18"/>
      <c r="I4" s="24"/>
      <c r="J4" s="24"/>
      <c r="K4" s="24"/>
      <c r="L4" s="24"/>
      <c r="M4" s="24"/>
      <c r="N4" s="24"/>
      <c r="O4" s="24"/>
      <c r="P4" s="24"/>
      <c r="Q4" s="24"/>
      <c r="R4" s="24"/>
      <c r="S4" s="24"/>
      <c r="T4" s="24"/>
      <c r="U4" s="24"/>
      <c r="V4" s="24"/>
      <c r="W4" s="24"/>
      <c r="X4" s="24"/>
      <c r="Y4" s="24"/>
      <c r="Z4" s="24"/>
      <c r="AA4" s="24"/>
    </row>
    <row r="5">
      <c r="A5" s="56" t="s">
        <v>83</v>
      </c>
      <c r="B5" s="58" t="s">
        <v>747</v>
      </c>
      <c r="C5" s="59"/>
      <c r="D5" s="60"/>
      <c r="E5" s="18"/>
      <c r="F5" s="18"/>
      <c r="G5" s="18"/>
      <c r="H5" s="18"/>
      <c r="I5" s="24"/>
      <c r="J5" s="24"/>
      <c r="K5" s="24"/>
      <c r="L5" s="24"/>
      <c r="M5" s="24"/>
      <c r="N5" s="24"/>
      <c r="O5" s="24"/>
      <c r="P5" s="24"/>
      <c r="Q5" s="24"/>
      <c r="R5" s="24"/>
      <c r="S5" s="24"/>
      <c r="T5" s="24"/>
      <c r="U5" s="24"/>
      <c r="V5" s="24"/>
      <c r="W5" s="24"/>
      <c r="X5" s="24"/>
      <c r="Y5" s="24"/>
      <c r="Z5" s="24"/>
      <c r="AA5" s="24"/>
    </row>
    <row r="6">
      <c r="A6" s="69" t="s">
        <v>23</v>
      </c>
      <c r="B6" s="70">
        <v>4.0</v>
      </c>
      <c r="C6" s="72" t="s">
        <v>25</v>
      </c>
      <c r="D6" s="73">
        <v>0.0</v>
      </c>
      <c r="E6" s="18"/>
      <c r="F6" s="18"/>
      <c r="G6" s="18"/>
      <c r="H6" s="18"/>
      <c r="I6" s="24"/>
      <c r="J6" s="24"/>
      <c r="K6" s="24"/>
      <c r="L6" s="24"/>
      <c r="M6" s="24"/>
      <c r="N6" s="24"/>
      <c r="O6" s="24"/>
      <c r="P6" s="24"/>
      <c r="Q6" s="24"/>
      <c r="R6" s="24"/>
      <c r="S6" s="24"/>
      <c r="T6" s="24"/>
      <c r="U6" s="24"/>
      <c r="V6" s="24"/>
      <c r="W6" s="24"/>
      <c r="X6" s="24"/>
      <c r="Y6" s="24"/>
      <c r="Z6" s="24"/>
      <c r="AA6" s="24"/>
    </row>
    <row r="7">
      <c r="A7" s="69" t="s">
        <v>24</v>
      </c>
      <c r="B7" s="70">
        <v>5.0</v>
      </c>
      <c r="C7" s="75" t="s">
        <v>99</v>
      </c>
      <c r="D7" s="73">
        <v>9.0</v>
      </c>
      <c r="E7" s="18"/>
      <c r="F7" s="18"/>
      <c r="G7" s="18"/>
      <c r="H7" s="18"/>
      <c r="I7" s="24"/>
      <c r="J7" s="24"/>
      <c r="K7" s="24"/>
      <c r="L7" s="24"/>
      <c r="M7" s="24"/>
      <c r="N7" s="24"/>
      <c r="O7" s="24"/>
      <c r="P7" s="24"/>
      <c r="Q7" s="24"/>
      <c r="R7" s="24"/>
      <c r="S7" s="24"/>
      <c r="T7" s="24"/>
      <c r="U7" s="24"/>
      <c r="V7" s="24"/>
      <c r="W7" s="24"/>
      <c r="X7" s="24"/>
      <c r="Y7" s="24"/>
      <c r="Z7" s="24"/>
      <c r="AA7" s="24"/>
    </row>
    <row r="8">
      <c r="A8" s="76"/>
      <c r="B8" s="77"/>
      <c r="C8" s="77"/>
      <c r="D8" s="77"/>
      <c r="E8" s="18"/>
      <c r="F8" s="18"/>
      <c r="G8" s="18"/>
      <c r="H8" s="18"/>
      <c r="I8" s="78"/>
      <c r="J8" s="78"/>
      <c r="K8" s="24"/>
      <c r="L8" s="24"/>
      <c r="M8" s="24"/>
      <c r="N8" s="24"/>
      <c r="O8" s="24"/>
      <c r="P8" s="24"/>
      <c r="Q8" s="24"/>
      <c r="R8" s="24"/>
      <c r="S8" s="24"/>
      <c r="T8" s="24"/>
      <c r="U8" s="24"/>
      <c r="V8" s="24"/>
      <c r="W8" s="24"/>
      <c r="X8" s="24"/>
      <c r="Y8" s="24"/>
      <c r="Z8" s="24"/>
      <c r="AA8" s="24"/>
    </row>
    <row r="9">
      <c r="A9" s="79" t="s">
        <v>101</v>
      </c>
      <c r="B9" s="80" t="s">
        <v>102</v>
      </c>
      <c r="C9" s="79" t="s">
        <v>103</v>
      </c>
      <c r="D9" s="81" t="s">
        <v>104</v>
      </c>
      <c r="G9" s="79" t="s">
        <v>106</v>
      </c>
      <c r="H9" s="82" t="s">
        <v>107</v>
      </c>
      <c r="I9" s="82" t="s">
        <v>109</v>
      </c>
      <c r="J9" s="82" t="s">
        <v>110</v>
      </c>
      <c r="K9" s="83" t="s">
        <v>111</v>
      </c>
      <c r="L9" s="82" t="s">
        <v>112</v>
      </c>
      <c r="M9" s="82" t="s">
        <v>113</v>
      </c>
      <c r="N9" s="24"/>
      <c r="O9" s="24"/>
      <c r="P9" s="24"/>
      <c r="Q9" s="24"/>
      <c r="R9" s="24"/>
      <c r="S9" s="24"/>
      <c r="T9" s="24"/>
      <c r="U9" s="24"/>
      <c r="V9" s="24"/>
      <c r="W9" s="24"/>
      <c r="X9" s="24"/>
      <c r="Y9" s="24"/>
      <c r="Z9" s="24"/>
      <c r="AA9" s="24"/>
    </row>
    <row r="10">
      <c r="A10" s="84"/>
      <c r="B10" s="84"/>
      <c r="C10" s="84"/>
      <c r="D10" s="85"/>
      <c r="E10" s="44"/>
      <c r="F10" s="44"/>
      <c r="G10" s="84"/>
      <c r="H10" s="84"/>
      <c r="I10" s="84"/>
      <c r="J10" s="84"/>
      <c r="K10" s="84"/>
      <c r="L10" s="84"/>
      <c r="M10" s="84"/>
      <c r="N10" s="24"/>
      <c r="O10" s="24"/>
      <c r="P10" s="24"/>
      <c r="Q10" s="24"/>
      <c r="R10" s="24"/>
      <c r="S10" s="24"/>
      <c r="T10" s="24"/>
      <c r="U10" s="24"/>
      <c r="V10" s="24"/>
      <c r="W10" s="24"/>
      <c r="X10" s="24"/>
      <c r="Y10" s="24"/>
      <c r="Z10" s="24"/>
      <c r="AA10" s="24"/>
    </row>
    <row r="11">
      <c r="A11" s="86"/>
      <c r="B11" s="77"/>
      <c r="C11" s="59"/>
      <c r="D11" s="59"/>
      <c r="E11" s="59"/>
      <c r="F11" s="59"/>
      <c r="G11" s="59"/>
      <c r="H11" s="59"/>
      <c r="I11" s="59"/>
      <c r="J11" s="59"/>
      <c r="K11" s="59"/>
      <c r="L11" s="59"/>
      <c r="M11" s="59"/>
      <c r="N11" s="24"/>
      <c r="O11" s="24"/>
      <c r="P11" s="24"/>
      <c r="Q11" s="24"/>
      <c r="R11" s="24"/>
      <c r="S11" s="24"/>
      <c r="T11" s="24"/>
      <c r="U11" s="24"/>
      <c r="V11" s="24"/>
      <c r="W11" s="24"/>
      <c r="X11" s="24"/>
      <c r="Y11" s="24"/>
      <c r="Z11" s="24"/>
      <c r="AA11" s="24"/>
    </row>
    <row r="12">
      <c r="A12" s="87" t="s">
        <v>748</v>
      </c>
      <c r="B12" s="59"/>
      <c r="C12" s="59"/>
      <c r="D12" s="59"/>
      <c r="E12" s="59"/>
      <c r="F12" s="59"/>
      <c r="G12" s="59"/>
      <c r="H12" s="59"/>
      <c r="I12" s="59"/>
      <c r="J12" s="59"/>
      <c r="K12" s="59"/>
      <c r="L12" s="59"/>
      <c r="M12" s="60"/>
      <c r="N12" s="24"/>
      <c r="O12" s="24"/>
      <c r="P12" s="24"/>
      <c r="Q12" s="24"/>
      <c r="R12" s="24"/>
      <c r="S12" s="24"/>
      <c r="T12" s="24"/>
      <c r="U12" s="24"/>
      <c r="V12" s="24"/>
      <c r="W12" s="24"/>
      <c r="X12" s="24"/>
      <c r="Y12" s="24"/>
      <c r="Z12" s="24"/>
      <c r="AA12" s="24"/>
    </row>
    <row r="13" ht="138.75" customHeight="1">
      <c r="A13" s="88" t="s">
        <v>749</v>
      </c>
      <c r="B13" s="90" t="s">
        <v>750</v>
      </c>
      <c r="C13" s="91" t="s">
        <v>751</v>
      </c>
      <c r="D13" s="93" t="s">
        <v>752</v>
      </c>
      <c r="E13" s="59"/>
      <c r="F13" s="59"/>
      <c r="G13" s="102" t="s">
        <v>753</v>
      </c>
      <c r="H13" s="103">
        <v>46248.0</v>
      </c>
      <c r="I13" s="88" t="s">
        <v>23</v>
      </c>
      <c r="J13" s="91" t="s">
        <v>754</v>
      </c>
      <c r="K13" s="104"/>
      <c r="L13" s="104"/>
      <c r="M13" s="105"/>
      <c r="N13" s="24"/>
      <c r="O13" s="24"/>
      <c r="P13" s="24"/>
      <c r="Q13" s="24"/>
      <c r="R13" s="24"/>
      <c r="S13" s="24"/>
      <c r="T13" s="24"/>
      <c r="U13" s="24"/>
      <c r="V13" s="24"/>
      <c r="W13" s="24"/>
      <c r="X13" s="24"/>
      <c r="Y13" s="24"/>
      <c r="Z13" s="24"/>
      <c r="AA13" s="24"/>
    </row>
    <row r="14" ht="104.25" customHeight="1">
      <c r="A14" s="88" t="s">
        <v>755</v>
      </c>
      <c r="B14" s="90" t="s">
        <v>756</v>
      </c>
      <c r="C14" s="91" t="s">
        <v>757</v>
      </c>
      <c r="D14" s="93" t="s">
        <v>758</v>
      </c>
      <c r="E14" s="59"/>
      <c r="F14" s="59"/>
      <c r="G14" s="102" t="s">
        <v>759</v>
      </c>
      <c r="H14" s="103">
        <v>46248.0</v>
      </c>
      <c r="I14" s="88" t="s">
        <v>24</v>
      </c>
      <c r="J14" s="91" t="s">
        <v>760</v>
      </c>
      <c r="K14" s="103">
        <v>46248.0</v>
      </c>
      <c r="L14" s="88" t="s">
        <v>23</v>
      </c>
      <c r="M14" s="102" t="s">
        <v>761</v>
      </c>
      <c r="N14" s="24"/>
      <c r="O14" s="24"/>
      <c r="P14" s="24"/>
      <c r="Q14" s="24"/>
      <c r="R14" s="24"/>
      <c r="S14" s="24"/>
      <c r="T14" s="24"/>
      <c r="U14" s="24"/>
      <c r="V14" s="24"/>
      <c r="W14" s="24"/>
      <c r="X14" s="24"/>
      <c r="Y14" s="24"/>
      <c r="Z14" s="24"/>
      <c r="AA14" s="24"/>
    </row>
    <row r="15" ht="15.75" customHeight="1">
      <c r="A15" s="87" t="s">
        <v>762</v>
      </c>
      <c r="B15" s="59"/>
      <c r="C15" s="59"/>
      <c r="D15" s="59"/>
      <c r="E15" s="59"/>
      <c r="F15" s="59"/>
      <c r="G15" s="59"/>
      <c r="H15" s="59"/>
      <c r="I15" s="59"/>
      <c r="J15" s="59"/>
      <c r="K15" s="59"/>
      <c r="L15" s="59"/>
      <c r="M15" s="60"/>
      <c r="N15" s="24"/>
      <c r="O15" s="24"/>
      <c r="P15" s="24"/>
      <c r="Q15" s="24"/>
      <c r="R15" s="24"/>
      <c r="S15" s="24"/>
      <c r="T15" s="24"/>
      <c r="U15" s="24"/>
      <c r="V15" s="24"/>
      <c r="W15" s="24"/>
      <c r="X15" s="24"/>
      <c r="Y15" s="24"/>
      <c r="Z15" s="24"/>
      <c r="AA15" s="24"/>
    </row>
    <row r="16" ht="152.25" customHeight="1">
      <c r="A16" s="88" t="s">
        <v>763</v>
      </c>
      <c r="B16" s="90" t="s">
        <v>764</v>
      </c>
      <c r="C16" s="91" t="s">
        <v>765</v>
      </c>
      <c r="D16" s="93" t="s">
        <v>766</v>
      </c>
      <c r="E16" s="59"/>
      <c r="F16" s="59"/>
      <c r="G16" s="102" t="s">
        <v>767</v>
      </c>
      <c r="H16" s="103">
        <v>46248.0</v>
      </c>
      <c r="I16" s="88" t="s">
        <v>24</v>
      </c>
      <c r="J16" s="91" t="s">
        <v>768</v>
      </c>
      <c r="K16" s="103">
        <v>46248.0</v>
      </c>
      <c r="L16" s="88" t="s">
        <v>23</v>
      </c>
      <c r="M16" s="102" t="s">
        <v>769</v>
      </c>
      <c r="N16" s="24"/>
      <c r="O16" s="24"/>
      <c r="P16" s="24"/>
      <c r="Q16" s="24"/>
      <c r="R16" s="24"/>
      <c r="S16" s="24"/>
      <c r="T16" s="24"/>
      <c r="U16" s="24"/>
      <c r="V16" s="24"/>
      <c r="W16" s="24"/>
      <c r="X16" s="24"/>
      <c r="Y16" s="24"/>
      <c r="Z16" s="24"/>
      <c r="AA16" s="24"/>
    </row>
    <row r="17">
      <c r="A17" s="87" t="s">
        <v>770</v>
      </c>
      <c r="B17" s="59"/>
      <c r="C17" s="59"/>
      <c r="D17" s="59"/>
      <c r="E17" s="59"/>
      <c r="F17" s="59"/>
      <c r="G17" s="59"/>
      <c r="H17" s="59"/>
      <c r="I17" s="59"/>
      <c r="J17" s="59"/>
      <c r="K17" s="59"/>
      <c r="L17" s="59"/>
      <c r="M17" s="60"/>
      <c r="N17" s="24"/>
      <c r="O17" s="24"/>
      <c r="P17" s="24"/>
      <c r="Q17" s="24"/>
      <c r="R17" s="24"/>
      <c r="S17" s="24"/>
      <c r="T17" s="24"/>
      <c r="U17" s="24"/>
      <c r="V17" s="24"/>
      <c r="W17" s="24"/>
      <c r="X17" s="24"/>
      <c r="Y17" s="24"/>
      <c r="Z17" s="24"/>
      <c r="AA17" s="24"/>
    </row>
    <row r="18" ht="141.75" customHeight="1">
      <c r="A18" s="88" t="s">
        <v>771</v>
      </c>
      <c r="B18" s="90" t="s">
        <v>772</v>
      </c>
      <c r="C18" s="91" t="s">
        <v>773</v>
      </c>
      <c r="D18" s="93" t="s">
        <v>774</v>
      </c>
      <c r="E18" s="59"/>
      <c r="F18" s="59"/>
      <c r="G18" s="102" t="s">
        <v>775</v>
      </c>
      <c r="H18" s="103">
        <v>46248.0</v>
      </c>
      <c r="I18" s="88" t="s">
        <v>23</v>
      </c>
      <c r="J18" s="91" t="s">
        <v>776</v>
      </c>
      <c r="K18" s="103"/>
      <c r="L18" s="88"/>
      <c r="M18" s="91"/>
      <c r="N18" s="24"/>
      <c r="O18" s="24"/>
      <c r="P18" s="24"/>
      <c r="Q18" s="24"/>
      <c r="R18" s="24"/>
      <c r="S18" s="24"/>
      <c r="T18" s="24"/>
      <c r="U18" s="24"/>
      <c r="V18" s="24"/>
      <c r="W18" s="24"/>
      <c r="X18" s="24"/>
      <c r="Y18" s="24"/>
      <c r="Z18" s="24"/>
      <c r="AA18" s="24"/>
    </row>
    <row r="19" ht="192.75" customHeight="1">
      <c r="A19" s="88" t="s">
        <v>777</v>
      </c>
      <c r="B19" s="90" t="s">
        <v>778</v>
      </c>
      <c r="C19" s="91" t="s">
        <v>779</v>
      </c>
      <c r="D19" s="93" t="s">
        <v>780</v>
      </c>
      <c r="E19" s="59"/>
      <c r="F19" s="59"/>
      <c r="G19" s="102" t="s">
        <v>781</v>
      </c>
      <c r="H19" s="103">
        <v>46248.0</v>
      </c>
      <c r="I19" s="88" t="s">
        <v>23</v>
      </c>
      <c r="J19" s="91" t="s">
        <v>782</v>
      </c>
      <c r="K19" s="103"/>
      <c r="L19" s="88"/>
      <c r="M19" s="91"/>
      <c r="N19" s="24"/>
      <c r="O19" s="24"/>
      <c r="P19" s="24"/>
      <c r="Q19" s="24"/>
      <c r="R19" s="24"/>
      <c r="S19" s="24"/>
      <c r="T19" s="24"/>
      <c r="U19" s="24"/>
      <c r="V19" s="24"/>
      <c r="W19" s="24"/>
      <c r="X19" s="24"/>
      <c r="Y19" s="24"/>
      <c r="Z19" s="24"/>
      <c r="AA19" s="24"/>
    </row>
    <row r="20" ht="14.25" customHeight="1">
      <c r="A20" s="87" t="s">
        <v>783</v>
      </c>
      <c r="B20" s="59"/>
      <c r="C20" s="59"/>
      <c r="D20" s="59"/>
      <c r="E20" s="59"/>
      <c r="F20" s="59"/>
      <c r="G20" s="59"/>
      <c r="H20" s="59"/>
      <c r="I20" s="59"/>
      <c r="J20" s="59"/>
      <c r="K20" s="59"/>
      <c r="L20" s="59"/>
      <c r="M20" s="60"/>
      <c r="N20" s="24"/>
      <c r="O20" s="24"/>
      <c r="P20" s="24"/>
      <c r="Q20" s="24"/>
      <c r="R20" s="24"/>
      <c r="S20" s="24"/>
      <c r="T20" s="24"/>
      <c r="U20" s="24"/>
      <c r="V20" s="24"/>
      <c r="W20" s="24"/>
      <c r="X20" s="24"/>
      <c r="Y20" s="24"/>
      <c r="Z20" s="24"/>
      <c r="AA20" s="24"/>
    </row>
    <row r="21" ht="162.75" customHeight="1">
      <c r="A21" s="88" t="s">
        <v>784</v>
      </c>
      <c r="B21" s="90" t="s">
        <v>785</v>
      </c>
      <c r="C21" s="91" t="s">
        <v>786</v>
      </c>
      <c r="D21" s="93" t="s">
        <v>787</v>
      </c>
      <c r="E21" s="59"/>
      <c r="F21" s="59"/>
      <c r="G21" s="102" t="s">
        <v>788</v>
      </c>
      <c r="H21" s="103">
        <v>46248.0</v>
      </c>
      <c r="I21" s="88" t="s">
        <v>24</v>
      </c>
      <c r="J21" s="91" t="s">
        <v>789</v>
      </c>
      <c r="K21" s="103">
        <v>46249.0</v>
      </c>
      <c r="L21" s="88" t="s">
        <v>23</v>
      </c>
      <c r="M21" s="102" t="s">
        <v>790</v>
      </c>
      <c r="N21" s="24"/>
      <c r="O21" s="24"/>
      <c r="P21" s="24"/>
      <c r="Q21" s="24"/>
      <c r="R21" s="24"/>
      <c r="S21" s="24"/>
      <c r="T21" s="24"/>
      <c r="U21" s="24"/>
      <c r="V21" s="24"/>
      <c r="W21" s="24"/>
      <c r="X21" s="24"/>
      <c r="Y21" s="24"/>
      <c r="Z21" s="24"/>
      <c r="AA21" s="24"/>
    </row>
    <row r="22" ht="13.5" customHeight="1">
      <c r="A22" s="87" t="s">
        <v>791</v>
      </c>
      <c r="B22" s="59"/>
      <c r="C22" s="59"/>
      <c r="D22" s="59"/>
      <c r="E22" s="59"/>
      <c r="F22" s="59"/>
      <c r="G22" s="59"/>
      <c r="H22" s="59"/>
      <c r="I22" s="59"/>
      <c r="J22" s="59"/>
      <c r="K22" s="59"/>
      <c r="L22" s="59"/>
      <c r="M22" s="60"/>
      <c r="N22" s="135"/>
      <c r="AA22" s="24"/>
    </row>
    <row r="23" ht="155.25" customHeight="1">
      <c r="A23" s="88" t="s">
        <v>792</v>
      </c>
      <c r="B23" s="90" t="s">
        <v>793</v>
      </c>
      <c r="C23" s="91" t="s">
        <v>794</v>
      </c>
      <c r="D23" s="93" t="s">
        <v>795</v>
      </c>
      <c r="E23" s="59"/>
      <c r="F23" s="59"/>
      <c r="G23" s="130" t="s">
        <v>796</v>
      </c>
      <c r="H23" s="103">
        <v>46248.0</v>
      </c>
      <c r="I23" s="88" t="s">
        <v>24</v>
      </c>
      <c r="J23" s="91" t="s">
        <v>797</v>
      </c>
      <c r="K23" s="103">
        <v>46249.0</v>
      </c>
      <c r="L23" s="88" t="s">
        <v>23</v>
      </c>
      <c r="M23" s="102" t="s">
        <v>798</v>
      </c>
      <c r="N23" s="24"/>
      <c r="O23" s="24"/>
      <c r="P23" s="24"/>
      <c r="Q23" s="24"/>
      <c r="R23" s="24"/>
      <c r="S23" s="24"/>
      <c r="T23" s="24"/>
      <c r="U23" s="24"/>
      <c r="V23" s="24"/>
      <c r="W23" s="24"/>
      <c r="X23" s="24"/>
      <c r="Y23" s="24"/>
      <c r="Z23" s="24"/>
      <c r="AA23" s="24"/>
    </row>
    <row r="24">
      <c r="A24" s="87" t="s">
        <v>799</v>
      </c>
      <c r="B24" s="59"/>
      <c r="C24" s="59"/>
      <c r="D24" s="59"/>
      <c r="E24" s="59"/>
      <c r="F24" s="59"/>
      <c r="G24" s="59"/>
      <c r="H24" s="59"/>
      <c r="I24" s="59"/>
      <c r="J24" s="59"/>
      <c r="K24" s="59"/>
      <c r="L24" s="59"/>
      <c r="M24" s="60"/>
      <c r="N24" s="136"/>
      <c r="AA24" s="24"/>
    </row>
    <row r="25" ht="165.0" customHeight="1">
      <c r="A25" s="88" t="s">
        <v>800</v>
      </c>
      <c r="B25" s="90" t="s">
        <v>801</v>
      </c>
      <c r="C25" s="91" t="s">
        <v>802</v>
      </c>
      <c r="D25" s="93" t="s">
        <v>803</v>
      </c>
      <c r="E25" s="59"/>
      <c r="F25" s="59"/>
      <c r="G25" s="102" t="s">
        <v>804</v>
      </c>
      <c r="H25" s="103">
        <v>46248.0</v>
      </c>
      <c r="I25" s="88" t="s">
        <v>23</v>
      </c>
      <c r="J25" s="91" t="s">
        <v>805</v>
      </c>
      <c r="K25" s="103"/>
      <c r="L25" s="88"/>
      <c r="M25" s="91"/>
      <c r="N25" s="24"/>
      <c r="O25" s="24"/>
      <c r="P25" s="24"/>
      <c r="Q25" s="24"/>
      <c r="R25" s="24"/>
      <c r="S25" s="24"/>
      <c r="T25" s="24"/>
      <c r="U25" s="24"/>
      <c r="V25" s="24"/>
      <c r="W25" s="24"/>
      <c r="X25" s="24"/>
      <c r="Y25" s="24"/>
      <c r="Z25" s="24"/>
      <c r="AA25" s="24"/>
    </row>
    <row r="26" ht="174.0" customHeight="1">
      <c r="A26" s="88" t="s">
        <v>806</v>
      </c>
      <c r="B26" s="90" t="s">
        <v>807</v>
      </c>
      <c r="C26" s="91" t="s">
        <v>808</v>
      </c>
      <c r="D26" s="93" t="s">
        <v>809</v>
      </c>
      <c r="E26" s="59"/>
      <c r="F26" s="59"/>
      <c r="G26" s="137" t="s">
        <v>810</v>
      </c>
      <c r="H26" s="139" t="s">
        <v>811</v>
      </c>
      <c r="I26" s="88" t="s">
        <v>24</v>
      </c>
      <c r="J26" s="91" t="s">
        <v>812</v>
      </c>
      <c r="K26" s="103"/>
      <c r="L26" s="88"/>
      <c r="M26" s="126"/>
      <c r="N26" s="24"/>
      <c r="O26" s="24"/>
      <c r="P26" s="24"/>
      <c r="Q26" s="24"/>
      <c r="R26" s="24"/>
      <c r="S26" s="24"/>
      <c r="T26" s="24"/>
      <c r="U26" s="24"/>
      <c r="V26" s="24"/>
      <c r="W26" s="24"/>
      <c r="X26" s="24"/>
      <c r="Y26" s="24"/>
      <c r="Z26" s="24"/>
      <c r="AA26" s="24"/>
    </row>
    <row r="27">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row>
    <row r="28">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row>
    <row r="29">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row>
    <row r="30">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c r="AA30" s="24"/>
    </row>
    <row r="3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row>
    <row r="32">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row>
    <row r="33">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row>
    <row r="34">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row>
    <row r="35">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row>
    <row r="36">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row>
    <row r="37">
      <c r="A37" s="24"/>
      <c r="B37" s="24"/>
      <c r="C37" s="24"/>
      <c r="D37" s="24"/>
      <c r="E37" s="24"/>
      <c r="F37" s="24"/>
      <c r="G37" s="127"/>
      <c r="H37" s="24"/>
      <c r="I37" s="24"/>
      <c r="J37" s="24"/>
      <c r="K37" s="24"/>
      <c r="L37" s="24"/>
      <c r="M37" s="24"/>
      <c r="N37" s="24"/>
      <c r="O37" s="24"/>
      <c r="P37" s="24"/>
      <c r="Q37" s="24"/>
      <c r="R37" s="24"/>
      <c r="S37" s="24"/>
      <c r="T37" s="24"/>
      <c r="U37" s="24"/>
      <c r="V37" s="24"/>
      <c r="W37" s="24"/>
      <c r="X37" s="24"/>
      <c r="Y37" s="24"/>
      <c r="Z37" s="24"/>
      <c r="AA37" s="24"/>
    </row>
    <row r="38">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row>
    <row r="39">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row>
    <row r="40">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row>
    <row r="4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row>
    <row r="42">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row>
    <row r="43">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row>
    <row r="44">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row>
    <row r="4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row>
    <row r="46">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row>
    <row r="47">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row>
    <row r="48">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row>
    <row r="49">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row>
    <row r="50">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row>
    <row r="5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row>
    <row r="52">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row>
    <row r="53">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row>
    <row r="54">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row>
    <row r="5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row>
    <row r="56">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row>
    <row r="57">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row>
    <row r="58">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row>
    <row r="59">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row>
    <row r="60">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row>
    <row r="6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row>
    <row r="62">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row>
    <row r="63">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row>
    <row r="64">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row>
    <row r="6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row>
    <row r="66">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row>
    <row r="67">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row>
    <row r="68">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row>
    <row r="69">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row>
    <row r="70">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row>
    <row r="7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row>
    <row r="72">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row>
    <row r="73">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row>
    <row r="74">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row>
    <row r="7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row>
    <row r="76">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row>
    <row r="77">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row>
    <row r="78">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row>
    <row r="79">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row>
    <row r="80">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row>
    <row r="8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row>
    <row r="82">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row>
    <row r="83">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row>
    <row r="84">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row>
    <row r="8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row>
    <row r="86">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row>
    <row r="87">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row>
    <row r="88">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row>
    <row r="89">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row>
    <row r="90">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row>
    <row r="9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row>
    <row r="9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row>
    <row r="93">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row>
    <row r="94">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row>
    <row r="9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row>
    <row r="96">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row>
    <row r="97">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row>
    <row r="98">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row>
    <row r="99">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c r="AA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c r="AA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c r="AA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c r="AA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c r="AA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c r="AA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c r="AA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c r="AA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c r="AA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c r="AA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c r="AA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c r="AA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c r="AA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c r="AA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c r="AA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c r="AA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c r="AA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c r="AA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c r="AA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c r="AA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c r="AA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c r="AA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c r="AA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c r="AA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c r="AA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c r="AA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c r="AA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c r="AA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c r="AA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c r="AA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c r="AA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c r="AA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c r="AA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c r="AA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c r="AA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c r="AA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c r="AA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c r="AA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c r="AA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c r="AA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c r="AA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c r="AA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c r="AA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c r="AA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c r="AA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c r="AA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c r="AA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c r="AA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c r="AA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c r="AA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c r="AA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c r="AA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c r="AA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c r="AA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c r="AA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c r="AA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c r="AA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c r="AA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c r="AA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c r="AA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c r="AA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c r="AA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c r="AA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c r="AA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c r="AA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c r="AA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c r="AA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c r="AA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c r="AA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c r="AA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c r="AA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c r="AA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c r="AA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c r="AA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c r="AA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c r="AA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c r="AA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c r="AA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c r="AA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c r="AA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c r="AA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c r="AA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c r="AA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c r="AA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c r="AA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c r="AA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c r="AA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c r="AA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c r="AA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c r="AA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c r="AA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c r="AA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c r="AA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c r="AA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c r="AA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c r="AA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c r="AA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c r="AA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c r="AA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c r="AA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c r="AA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c r="AA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c r="AA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c r="AA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c r="AA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c r="AA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c r="AA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c r="AA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c r="AA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c r="AA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c r="AA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c r="AA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c r="AA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c r="AA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c r="AA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c r="AA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c r="AA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c r="AA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c r="AA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c r="AA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c r="AA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c r="AA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c r="AA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c r="AA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c r="AA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c r="AA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c r="AA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c r="AA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c r="AA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c r="AA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c r="AA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c r="AA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c r="AA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c r="AA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c r="AA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c r="AA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c r="AA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c r="AA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c r="AA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c r="AA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c r="AA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c r="AA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c r="AA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c r="AA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c r="AA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c r="AA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c r="AA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c r="AA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c r="AA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c r="AA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c r="AA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c r="AA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c r="AA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c r="AA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c r="AA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c r="AA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c r="AA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c r="AA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c r="AA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c r="AA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c r="AA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c r="AA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c r="AA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c r="AA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c r="AA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c r="AA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c r="AA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c r="AA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c r="AA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c r="AA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c r="AA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c r="AA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c r="AA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c r="AA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c r="AA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c r="AA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c r="AA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c r="AA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c r="AA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c r="AA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c r="AA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c r="AA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c r="AA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c r="AA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c r="AA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c r="AA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c r="AA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c r="AA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c r="AA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c r="AA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c r="AA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c r="AA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c r="AA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c r="AA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c r="AA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c r="AA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c r="AA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c r="AA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c r="AA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c r="AA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c r="AA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c r="AA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c r="AA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c r="AA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c r="AA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c r="AA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c r="AA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c r="AA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c r="AA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c r="AA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c r="AA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c r="AA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c r="AA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c r="AA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c r="AA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c r="AA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c r="AA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c r="AA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c r="AA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c r="AA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c r="AA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c r="AA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c r="AA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c r="AA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c r="AA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c r="AA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c r="AA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c r="AA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c r="AA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c r="AA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c r="AA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c r="AA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c r="AA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c r="AA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c r="AA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c r="AA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c r="AA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c r="AA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c r="AA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c r="AA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c r="AA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c r="AA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c r="AA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c r="AA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c r="AA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c r="AA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c r="AA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c r="AA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c r="AA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c r="AA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c r="AA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c r="AA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c r="AA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c r="AA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c r="AA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c r="AA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c r="AA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c r="AA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c r="AA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c r="AA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c r="AA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c r="AA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c r="AA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c r="AA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c r="AA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c r="AA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c r="AA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c r="AA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c r="AA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c r="AA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c r="AA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c r="AA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c r="AA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c r="AA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c r="AA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c r="AA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c r="AA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c r="AA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c r="AA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c r="AA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c r="AA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c r="AA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c r="AA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c r="AA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c r="AA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c r="AA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c r="AA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c r="AA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c r="AA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c r="AA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c r="AA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c r="AA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c r="AA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c r="AA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c r="AA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c r="AA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c r="AA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c r="AA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c r="AA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c r="AA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c r="AA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c r="AA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c r="AA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c r="AA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c r="AA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c r="AA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c r="AA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c r="AA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c r="AA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c r="AA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c r="AA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c r="AA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c r="AA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c r="AA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c r="AA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c r="AA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c r="AA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c r="AA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c r="AA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c r="AA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c r="AA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c r="AA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c r="AA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c r="AA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c r="AA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c r="AA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c r="AA977" s="24"/>
    </row>
    <row r="97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c r="AA978" s="24"/>
    </row>
    <row r="979">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c r="AA979" s="24"/>
    </row>
    <row r="980">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c r="AA980" s="24"/>
    </row>
    <row r="98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c r="AA981" s="24"/>
    </row>
    <row r="982">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c r="AA982" s="24"/>
    </row>
    <row r="983">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c r="AA983" s="24"/>
    </row>
    <row r="984">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c r="AA984" s="24"/>
    </row>
    <row r="98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c r="AA985" s="24"/>
    </row>
    <row r="986">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c r="AA986" s="24"/>
    </row>
    <row r="987">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c r="AA987" s="24"/>
    </row>
    <row r="988">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c r="AA988" s="24"/>
    </row>
    <row r="989">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c r="AA989" s="24"/>
    </row>
  </sheetData>
  <mergeCells count="33">
    <mergeCell ref="B1:D2"/>
    <mergeCell ref="B3:D3"/>
    <mergeCell ref="B4:D4"/>
    <mergeCell ref="B5:D5"/>
    <mergeCell ref="A9:A10"/>
    <mergeCell ref="B9:B10"/>
    <mergeCell ref="C9:C10"/>
    <mergeCell ref="G9:G10"/>
    <mergeCell ref="H9:H10"/>
    <mergeCell ref="I9:I10"/>
    <mergeCell ref="J9:J10"/>
    <mergeCell ref="K9:K10"/>
    <mergeCell ref="L9:L10"/>
    <mergeCell ref="M9:M10"/>
    <mergeCell ref="D16:F16"/>
    <mergeCell ref="D18:F18"/>
    <mergeCell ref="D19:F19"/>
    <mergeCell ref="D21:F21"/>
    <mergeCell ref="D23:F23"/>
    <mergeCell ref="D25:F25"/>
    <mergeCell ref="D26:F26"/>
    <mergeCell ref="A20:M20"/>
    <mergeCell ref="A22:M22"/>
    <mergeCell ref="N22:Z22"/>
    <mergeCell ref="A24:M24"/>
    <mergeCell ref="N24:Z24"/>
    <mergeCell ref="D9:F10"/>
    <mergeCell ref="B11:M11"/>
    <mergeCell ref="A12:M12"/>
    <mergeCell ref="D13:F13"/>
    <mergeCell ref="D14:F14"/>
    <mergeCell ref="A15:M15"/>
    <mergeCell ref="A17:M17"/>
  </mergeCells>
  <hyperlinks>
    <hyperlink r:id="rId1" ref="G13"/>
    <hyperlink r:id="rId2" ref="G14"/>
    <hyperlink r:id="rId3" ref="M14"/>
    <hyperlink r:id="rId4" ref="G16"/>
    <hyperlink r:id="rId5" ref="M16"/>
    <hyperlink r:id="rId6" ref="G18"/>
    <hyperlink r:id="rId7" ref="G19"/>
    <hyperlink r:id="rId8" ref="G21"/>
    <hyperlink r:id="rId9" ref="M21"/>
    <hyperlink r:id="rId10" ref="G23"/>
    <hyperlink r:id="rId11" ref="M23"/>
    <hyperlink r:id="rId12" ref="G25"/>
    <hyperlink r:id="rId13" ref="G26"/>
  </hyperlinks>
  <drawing r:id="rId14"/>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13"/>
    <col customWidth="1" min="2" max="2" width="22.13"/>
    <col customWidth="1" min="3" max="3" width="43.5"/>
    <col customWidth="1" min="6" max="6" width="19.0"/>
    <col customWidth="1" min="7" max="7" width="22.63"/>
    <col customWidth="1" min="8" max="8" width="20.13"/>
    <col customWidth="1" min="9" max="9" width="15.5"/>
    <col customWidth="1" min="10" max="10" width="21.38"/>
  </cols>
  <sheetData>
    <row r="1">
      <c r="A1" s="11" t="s">
        <v>3</v>
      </c>
      <c r="B1" s="18"/>
      <c r="E1" s="18"/>
      <c r="F1" s="18"/>
      <c r="G1" s="18"/>
      <c r="H1" s="18"/>
      <c r="I1" s="18"/>
      <c r="J1" s="18"/>
      <c r="K1" s="24"/>
      <c r="L1" s="24"/>
      <c r="M1" s="24"/>
      <c r="N1" s="24"/>
      <c r="O1" s="24"/>
      <c r="P1" s="24"/>
      <c r="Q1" s="24"/>
      <c r="R1" s="24"/>
      <c r="S1" s="24"/>
      <c r="T1" s="24"/>
      <c r="U1" s="24"/>
      <c r="V1" s="24"/>
      <c r="W1" s="24"/>
      <c r="X1" s="24"/>
    </row>
    <row r="2">
      <c r="A2" s="18"/>
      <c r="B2" s="44"/>
      <c r="C2" s="44"/>
      <c r="D2" s="44"/>
      <c r="E2" s="18"/>
      <c r="F2" s="18"/>
      <c r="G2" s="18"/>
      <c r="H2" s="18"/>
      <c r="I2" s="18"/>
      <c r="J2" s="18"/>
      <c r="K2" s="24"/>
      <c r="L2" s="24"/>
      <c r="M2" s="24"/>
      <c r="N2" s="24"/>
      <c r="O2" s="24"/>
      <c r="P2" s="24"/>
      <c r="Q2" s="24"/>
      <c r="R2" s="24"/>
      <c r="S2" s="24"/>
      <c r="T2" s="24"/>
      <c r="U2" s="24"/>
      <c r="V2" s="24"/>
      <c r="W2" s="24"/>
      <c r="X2" s="24"/>
    </row>
    <row r="3">
      <c r="A3" s="56" t="s">
        <v>60</v>
      </c>
      <c r="B3" s="58" t="s">
        <v>63</v>
      </c>
      <c r="C3" s="59"/>
      <c r="D3" s="60"/>
      <c r="E3" s="18"/>
      <c r="F3" s="18"/>
      <c r="G3" s="18"/>
      <c r="H3" s="18"/>
      <c r="I3" s="24"/>
      <c r="J3" s="24"/>
      <c r="K3" s="24"/>
      <c r="L3" s="24"/>
      <c r="M3" s="24"/>
      <c r="N3" s="24"/>
      <c r="O3" s="24"/>
      <c r="P3" s="24"/>
      <c r="Q3" s="24"/>
      <c r="R3" s="24"/>
      <c r="S3" s="24"/>
      <c r="T3" s="24"/>
      <c r="U3" s="24"/>
      <c r="V3" s="24"/>
      <c r="W3" s="24"/>
      <c r="X3" s="24"/>
    </row>
    <row r="4">
      <c r="A4" s="56" t="s">
        <v>69</v>
      </c>
      <c r="B4" s="61" t="s">
        <v>813</v>
      </c>
      <c r="C4" s="59"/>
      <c r="D4" s="60"/>
      <c r="E4" s="18"/>
      <c r="F4" s="18"/>
      <c r="G4" s="18"/>
      <c r="H4" s="18"/>
      <c r="I4" s="24"/>
      <c r="J4" s="24"/>
      <c r="K4" s="24"/>
      <c r="L4" s="24"/>
      <c r="M4" s="24"/>
      <c r="N4" s="24"/>
      <c r="O4" s="24"/>
      <c r="P4" s="24"/>
      <c r="Q4" s="24"/>
      <c r="R4" s="24"/>
      <c r="S4" s="24"/>
      <c r="T4" s="24"/>
      <c r="U4" s="24"/>
      <c r="V4" s="24"/>
      <c r="W4" s="24"/>
      <c r="X4" s="24"/>
    </row>
    <row r="5">
      <c r="A5" s="56" t="s">
        <v>83</v>
      </c>
      <c r="B5" s="58" t="s">
        <v>814</v>
      </c>
      <c r="C5" s="59"/>
      <c r="D5" s="60"/>
      <c r="E5" s="18"/>
      <c r="F5" s="18"/>
      <c r="G5" s="18"/>
      <c r="H5" s="18"/>
      <c r="I5" s="24"/>
      <c r="J5" s="24"/>
      <c r="K5" s="24"/>
      <c r="L5" s="24"/>
      <c r="M5" s="24"/>
      <c r="N5" s="24"/>
      <c r="O5" s="24"/>
      <c r="P5" s="24"/>
      <c r="Q5" s="24"/>
      <c r="R5" s="24"/>
      <c r="S5" s="24"/>
      <c r="T5" s="24"/>
      <c r="U5" s="24"/>
      <c r="V5" s="24"/>
      <c r="W5" s="24"/>
      <c r="X5" s="24"/>
    </row>
    <row r="6">
      <c r="A6" s="69" t="s">
        <v>23</v>
      </c>
      <c r="B6" s="70">
        <v>4.0</v>
      </c>
      <c r="C6" s="72" t="s">
        <v>25</v>
      </c>
      <c r="D6" s="73">
        <v>0.0</v>
      </c>
      <c r="E6" s="18"/>
      <c r="F6" s="18"/>
      <c r="G6" s="18"/>
      <c r="H6" s="18"/>
      <c r="I6" s="24"/>
      <c r="J6" s="24"/>
      <c r="K6" s="24"/>
      <c r="L6" s="24"/>
      <c r="M6" s="24"/>
      <c r="N6" s="24"/>
      <c r="O6" s="24"/>
      <c r="P6" s="24"/>
      <c r="Q6" s="24"/>
      <c r="R6" s="24"/>
      <c r="S6" s="24"/>
      <c r="T6" s="24"/>
      <c r="U6" s="24"/>
      <c r="V6" s="24"/>
      <c r="W6" s="24"/>
      <c r="X6" s="24"/>
    </row>
    <row r="7">
      <c r="A7" s="69" t="s">
        <v>24</v>
      </c>
      <c r="B7" s="70">
        <v>0.0</v>
      </c>
      <c r="C7" s="75" t="s">
        <v>99</v>
      </c>
      <c r="D7" s="73">
        <v>4.0</v>
      </c>
      <c r="E7" s="18"/>
      <c r="F7" s="18"/>
      <c r="G7" s="18"/>
      <c r="H7" s="18"/>
      <c r="I7" s="24"/>
      <c r="J7" s="24"/>
      <c r="K7" s="24"/>
      <c r="L7" s="24"/>
      <c r="M7" s="24"/>
      <c r="N7" s="24"/>
      <c r="O7" s="24"/>
      <c r="P7" s="24"/>
      <c r="Q7" s="24"/>
      <c r="R7" s="24"/>
      <c r="S7" s="24"/>
      <c r="T7" s="24"/>
      <c r="U7" s="24"/>
      <c r="V7" s="24"/>
      <c r="W7" s="24"/>
      <c r="X7" s="24"/>
    </row>
    <row r="8">
      <c r="A8" s="76"/>
      <c r="B8" s="77"/>
      <c r="C8" s="77"/>
      <c r="D8" s="77"/>
      <c r="E8" s="18"/>
      <c r="F8" s="18"/>
      <c r="G8" s="18"/>
      <c r="H8" s="18"/>
      <c r="I8" s="78"/>
      <c r="J8" s="78"/>
      <c r="K8" s="24"/>
      <c r="L8" s="24"/>
      <c r="M8" s="24"/>
      <c r="N8" s="24"/>
      <c r="O8" s="24"/>
      <c r="P8" s="24"/>
      <c r="Q8" s="24"/>
      <c r="R8" s="24"/>
      <c r="S8" s="24"/>
      <c r="T8" s="24"/>
      <c r="U8" s="24"/>
      <c r="V8" s="24"/>
      <c r="W8" s="24"/>
      <c r="X8" s="24"/>
    </row>
    <row r="9">
      <c r="A9" s="79" t="s">
        <v>101</v>
      </c>
      <c r="B9" s="80" t="s">
        <v>102</v>
      </c>
      <c r="C9" s="79" t="s">
        <v>103</v>
      </c>
      <c r="D9" s="81" t="s">
        <v>104</v>
      </c>
      <c r="G9" s="79" t="s">
        <v>106</v>
      </c>
      <c r="H9" s="82" t="s">
        <v>107</v>
      </c>
      <c r="I9" s="82" t="s">
        <v>109</v>
      </c>
      <c r="J9" s="82" t="s">
        <v>110</v>
      </c>
      <c r="K9" s="24"/>
      <c r="L9" s="24"/>
      <c r="M9" s="24"/>
      <c r="N9" s="24"/>
      <c r="O9" s="24"/>
      <c r="P9" s="24"/>
      <c r="Q9" s="24"/>
      <c r="R9" s="24"/>
      <c r="S9" s="24"/>
      <c r="T9" s="24"/>
      <c r="U9" s="24"/>
      <c r="V9" s="24"/>
      <c r="W9" s="24"/>
      <c r="X9" s="24"/>
    </row>
    <row r="10">
      <c r="A10" s="84"/>
      <c r="B10" s="84"/>
      <c r="C10" s="84"/>
      <c r="D10" s="85"/>
      <c r="E10" s="44"/>
      <c r="F10" s="44"/>
      <c r="G10" s="84"/>
      <c r="H10" s="84"/>
      <c r="I10" s="84"/>
      <c r="J10" s="84"/>
      <c r="K10" s="24"/>
      <c r="L10" s="24"/>
      <c r="M10" s="24"/>
      <c r="N10" s="24"/>
      <c r="O10" s="24"/>
      <c r="P10" s="24"/>
      <c r="Q10" s="24"/>
      <c r="R10" s="24"/>
      <c r="S10" s="24"/>
      <c r="T10" s="24"/>
      <c r="U10" s="24"/>
      <c r="V10" s="24"/>
      <c r="W10" s="24"/>
      <c r="X10" s="24"/>
    </row>
    <row r="11">
      <c r="A11" s="86"/>
      <c r="B11" s="138"/>
      <c r="C11" s="59"/>
      <c r="D11" s="59"/>
      <c r="E11" s="59"/>
      <c r="F11" s="59"/>
      <c r="G11" s="59"/>
      <c r="H11" s="59"/>
      <c r="I11" s="59"/>
      <c r="J11" s="60"/>
      <c r="K11" s="24"/>
      <c r="L11" s="24"/>
      <c r="M11" s="24"/>
      <c r="N11" s="24"/>
      <c r="O11" s="24"/>
      <c r="P11" s="24"/>
      <c r="Q11" s="24"/>
      <c r="R11" s="24"/>
      <c r="S11" s="24"/>
      <c r="T11" s="24"/>
      <c r="U11" s="24"/>
      <c r="V11" s="24"/>
      <c r="W11" s="24"/>
      <c r="X11" s="24"/>
    </row>
    <row r="12">
      <c r="A12" s="87" t="s">
        <v>815</v>
      </c>
      <c r="B12" s="59"/>
      <c r="C12" s="59"/>
      <c r="D12" s="59"/>
      <c r="E12" s="59"/>
      <c r="F12" s="59"/>
      <c r="G12" s="59"/>
      <c r="H12" s="59"/>
      <c r="I12" s="59"/>
      <c r="J12" s="60"/>
      <c r="K12" s="24"/>
      <c r="L12" s="24"/>
      <c r="M12" s="24"/>
      <c r="N12" s="24"/>
      <c r="O12" s="24"/>
      <c r="P12" s="24"/>
      <c r="Q12" s="24"/>
      <c r="R12" s="24"/>
      <c r="S12" s="24"/>
      <c r="T12" s="24"/>
      <c r="U12" s="24"/>
      <c r="V12" s="24"/>
      <c r="W12" s="24"/>
      <c r="X12" s="24"/>
    </row>
    <row r="13" ht="91.5" customHeight="1">
      <c r="A13" s="88" t="s">
        <v>816</v>
      </c>
      <c r="B13" s="90" t="s">
        <v>817</v>
      </c>
      <c r="C13" s="91" t="s">
        <v>818</v>
      </c>
      <c r="D13" s="93" t="s">
        <v>819</v>
      </c>
      <c r="E13" s="59"/>
      <c r="F13" s="59"/>
      <c r="G13" s="102" t="s">
        <v>820</v>
      </c>
      <c r="H13" s="103">
        <v>46252.0</v>
      </c>
      <c r="I13" s="88" t="s">
        <v>23</v>
      </c>
      <c r="J13" s="91" t="s">
        <v>821</v>
      </c>
      <c r="K13" s="24"/>
      <c r="L13" s="24"/>
      <c r="M13" s="24"/>
      <c r="N13" s="24"/>
      <c r="O13" s="24"/>
      <c r="P13" s="24"/>
      <c r="Q13" s="24"/>
      <c r="R13" s="24"/>
      <c r="S13" s="24"/>
      <c r="T13" s="24"/>
      <c r="U13" s="24"/>
      <c r="V13" s="24"/>
      <c r="W13" s="24"/>
      <c r="X13" s="24"/>
    </row>
    <row r="14" ht="74.25" customHeight="1">
      <c r="A14" s="88" t="s">
        <v>822</v>
      </c>
      <c r="B14" s="90" t="s">
        <v>823</v>
      </c>
      <c r="C14" s="91" t="s">
        <v>824</v>
      </c>
      <c r="D14" s="93" t="s">
        <v>825</v>
      </c>
      <c r="E14" s="59"/>
      <c r="F14" s="59"/>
      <c r="G14" s="102" t="s">
        <v>826</v>
      </c>
      <c r="H14" s="103">
        <v>46252.0</v>
      </c>
      <c r="I14" s="88" t="s">
        <v>23</v>
      </c>
      <c r="J14" s="91" t="s">
        <v>827</v>
      </c>
      <c r="K14" s="24"/>
      <c r="L14" s="24"/>
      <c r="M14" s="24"/>
      <c r="N14" s="24"/>
      <c r="O14" s="24"/>
      <c r="P14" s="24"/>
      <c r="Q14" s="24"/>
      <c r="R14" s="24"/>
      <c r="S14" s="24"/>
      <c r="T14" s="24"/>
      <c r="U14" s="24"/>
      <c r="V14" s="24"/>
      <c r="W14" s="24"/>
      <c r="X14" s="24"/>
    </row>
    <row r="15" ht="81.75" customHeight="1">
      <c r="A15" s="88" t="s">
        <v>828</v>
      </c>
      <c r="B15" s="90" t="s">
        <v>829</v>
      </c>
      <c r="C15" s="91" t="s">
        <v>830</v>
      </c>
      <c r="D15" s="93" t="s">
        <v>831</v>
      </c>
      <c r="E15" s="59"/>
      <c r="F15" s="59"/>
      <c r="G15" s="102" t="s">
        <v>832</v>
      </c>
      <c r="H15" s="103">
        <v>46252.0</v>
      </c>
      <c r="I15" s="88" t="s">
        <v>23</v>
      </c>
      <c r="J15" s="91" t="s">
        <v>827</v>
      </c>
      <c r="K15" s="24"/>
      <c r="L15" s="24"/>
      <c r="M15" s="24"/>
      <c r="N15" s="24"/>
      <c r="O15" s="24"/>
      <c r="P15" s="24"/>
      <c r="Q15" s="24"/>
      <c r="R15" s="24"/>
      <c r="S15" s="24"/>
      <c r="T15" s="24"/>
      <c r="U15" s="24"/>
      <c r="V15" s="24"/>
      <c r="W15" s="24"/>
      <c r="X15" s="24"/>
    </row>
    <row r="16" ht="87.0" customHeight="1">
      <c r="A16" s="88" t="s">
        <v>833</v>
      </c>
      <c r="B16" s="90" t="s">
        <v>834</v>
      </c>
      <c r="C16" s="91" t="s">
        <v>835</v>
      </c>
      <c r="D16" s="93" t="s">
        <v>836</v>
      </c>
      <c r="E16" s="59"/>
      <c r="F16" s="59"/>
      <c r="G16" s="102" t="s">
        <v>837</v>
      </c>
      <c r="H16" s="103">
        <v>46252.0</v>
      </c>
      <c r="I16" s="88" t="s">
        <v>23</v>
      </c>
      <c r="J16" s="91" t="s">
        <v>838</v>
      </c>
      <c r="K16" s="24"/>
      <c r="L16" s="24"/>
      <c r="M16" s="24"/>
      <c r="N16" s="24"/>
      <c r="O16" s="24"/>
      <c r="P16" s="24"/>
      <c r="Q16" s="24"/>
      <c r="R16" s="24"/>
      <c r="S16" s="24"/>
      <c r="T16" s="24"/>
      <c r="U16" s="24"/>
      <c r="V16" s="24"/>
      <c r="W16" s="24"/>
      <c r="X16" s="24"/>
    </row>
    <row r="18">
      <c r="A18" s="24"/>
      <c r="B18" s="24"/>
      <c r="C18" s="24"/>
      <c r="D18" s="24"/>
      <c r="E18" s="24"/>
      <c r="F18" s="24"/>
      <c r="G18" s="24"/>
      <c r="H18" s="24"/>
      <c r="I18" s="24"/>
      <c r="J18" s="24"/>
      <c r="K18" s="24"/>
      <c r="L18" s="24"/>
      <c r="M18" s="24"/>
      <c r="N18" s="24"/>
      <c r="O18" s="24"/>
      <c r="P18" s="24"/>
      <c r="Q18" s="24"/>
      <c r="R18" s="24"/>
      <c r="S18" s="24"/>
      <c r="T18" s="24"/>
      <c r="U18" s="24"/>
      <c r="V18" s="24"/>
      <c r="W18" s="24"/>
      <c r="X18" s="24"/>
    </row>
    <row r="19">
      <c r="A19" s="24"/>
      <c r="B19" s="24"/>
      <c r="C19" s="24"/>
      <c r="D19" s="24"/>
      <c r="E19" s="24"/>
      <c r="F19" s="24"/>
      <c r="G19" s="24"/>
      <c r="H19" s="24"/>
      <c r="I19" s="24"/>
      <c r="J19" s="24"/>
      <c r="K19" s="24"/>
      <c r="L19" s="24"/>
      <c r="M19" s="24"/>
      <c r="N19" s="24"/>
      <c r="O19" s="24"/>
      <c r="P19" s="24"/>
      <c r="Q19" s="24"/>
      <c r="R19" s="24"/>
      <c r="S19" s="24"/>
      <c r="T19" s="24"/>
      <c r="U19" s="24"/>
      <c r="V19" s="24"/>
      <c r="W19" s="24"/>
      <c r="X19" s="24"/>
    </row>
    <row r="20">
      <c r="A20" s="24"/>
      <c r="B20" s="24"/>
      <c r="C20" s="24"/>
      <c r="D20" s="24"/>
      <c r="E20" s="24"/>
      <c r="F20" s="24"/>
      <c r="G20" s="24"/>
      <c r="H20" s="24"/>
      <c r="I20" s="24"/>
      <c r="J20" s="24"/>
      <c r="K20" s="24"/>
      <c r="L20" s="24"/>
      <c r="M20" s="24"/>
      <c r="N20" s="24"/>
      <c r="O20" s="24"/>
      <c r="P20" s="24"/>
      <c r="Q20" s="24"/>
      <c r="R20" s="24"/>
      <c r="S20" s="24"/>
      <c r="T20" s="24"/>
      <c r="U20" s="24"/>
      <c r="V20" s="24"/>
      <c r="W20" s="24"/>
      <c r="X20" s="24"/>
    </row>
    <row r="21">
      <c r="A21" s="24"/>
      <c r="B21" s="24"/>
      <c r="C21" s="24"/>
      <c r="D21" s="24"/>
      <c r="E21" s="24"/>
      <c r="F21" s="24"/>
      <c r="G21" s="24"/>
      <c r="H21" s="24"/>
      <c r="I21" s="24"/>
      <c r="J21" s="24"/>
      <c r="K21" s="24"/>
      <c r="L21" s="24"/>
      <c r="M21" s="24"/>
      <c r="N21" s="24"/>
      <c r="O21" s="24"/>
      <c r="P21" s="24"/>
      <c r="Q21" s="24"/>
      <c r="R21" s="24"/>
      <c r="S21" s="24"/>
      <c r="T21" s="24"/>
      <c r="U21" s="24"/>
      <c r="V21" s="24"/>
      <c r="W21" s="24"/>
      <c r="X21" s="24"/>
    </row>
    <row r="22">
      <c r="A22" s="24"/>
      <c r="B22" s="24"/>
      <c r="C22" s="24"/>
      <c r="D22" s="24"/>
      <c r="E22" s="24"/>
      <c r="F22" s="24"/>
      <c r="G22" s="24"/>
      <c r="H22" s="24"/>
      <c r="I22" s="24"/>
      <c r="J22" s="24"/>
      <c r="K22" s="24"/>
      <c r="L22" s="24"/>
      <c r="M22" s="24"/>
      <c r="N22" s="24"/>
      <c r="O22" s="24"/>
      <c r="P22" s="24"/>
      <c r="Q22" s="24"/>
      <c r="R22" s="24"/>
      <c r="S22" s="24"/>
      <c r="T22" s="24"/>
      <c r="U22" s="24"/>
      <c r="V22" s="24"/>
      <c r="W22" s="24"/>
      <c r="X22" s="24"/>
    </row>
    <row r="23">
      <c r="A23" s="24"/>
      <c r="B23" s="24"/>
      <c r="C23" s="24"/>
      <c r="D23" s="24"/>
      <c r="E23" s="24"/>
      <c r="F23" s="24"/>
      <c r="G23" s="24"/>
      <c r="H23" s="24"/>
      <c r="I23" s="24"/>
      <c r="J23" s="24"/>
      <c r="K23" s="24"/>
      <c r="L23" s="24"/>
      <c r="M23" s="24"/>
      <c r="N23" s="24"/>
      <c r="O23" s="24"/>
      <c r="P23" s="24"/>
      <c r="Q23" s="24"/>
      <c r="R23" s="24"/>
      <c r="S23" s="24"/>
      <c r="T23" s="24"/>
      <c r="U23" s="24"/>
      <c r="V23" s="24"/>
      <c r="W23" s="24"/>
      <c r="X23" s="24"/>
    </row>
    <row r="24">
      <c r="A24" s="24"/>
      <c r="B24" s="24"/>
      <c r="C24" s="24"/>
      <c r="D24" s="24"/>
      <c r="E24" s="24"/>
      <c r="F24" s="24"/>
      <c r="G24" s="24"/>
      <c r="H24" s="24"/>
      <c r="I24" s="24"/>
      <c r="J24" s="24"/>
      <c r="K24" s="24"/>
      <c r="L24" s="24"/>
      <c r="M24" s="24"/>
      <c r="N24" s="24"/>
      <c r="O24" s="24"/>
      <c r="P24" s="24"/>
      <c r="Q24" s="24"/>
      <c r="R24" s="24"/>
      <c r="S24" s="24"/>
      <c r="T24" s="24"/>
      <c r="U24" s="24"/>
      <c r="V24" s="24"/>
      <c r="W24" s="24"/>
      <c r="X24" s="24"/>
    </row>
    <row r="25">
      <c r="A25" s="24"/>
      <c r="B25" s="24"/>
      <c r="C25" s="24"/>
      <c r="D25" s="24"/>
      <c r="E25" s="24"/>
      <c r="F25" s="24"/>
      <c r="G25" s="127"/>
      <c r="H25" s="24"/>
      <c r="I25" s="24"/>
      <c r="J25" s="24"/>
      <c r="K25" s="24"/>
      <c r="L25" s="24"/>
      <c r="M25" s="24"/>
      <c r="N25" s="24"/>
      <c r="O25" s="24"/>
      <c r="P25" s="24"/>
      <c r="Q25" s="24"/>
      <c r="R25" s="24"/>
      <c r="S25" s="24"/>
      <c r="T25" s="24"/>
      <c r="U25" s="24"/>
      <c r="V25" s="24"/>
      <c r="W25" s="24"/>
      <c r="X25" s="24"/>
    </row>
    <row r="26">
      <c r="A26" s="24"/>
      <c r="B26" s="24"/>
      <c r="C26" s="24"/>
      <c r="D26" s="24"/>
      <c r="E26" s="24"/>
      <c r="F26" s="24"/>
      <c r="G26" s="24"/>
      <c r="H26" s="24"/>
      <c r="I26" s="24"/>
      <c r="J26" s="24"/>
      <c r="K26" s="24"/>
      <c r="L26" s="24"/>
      <c r="M26" s="24"/>
      <c r="N26" s="24"/>
      <c r="O26" s="24"/>
      <c r="P26" s="24"/>
      <c r="Q26" s="24"/>
      <c r="R26" s="24"/>
      <c r="S26" s="24"/>
      <c r="T26" s="24"/>
      <c r="U26" s="24"/>
      <c r="V26" s="24"/>
      <c r="W26" s="24"/>
      <c r="X26" s="24"/>
    </row>
    <row r="27">
      <c r="A27" s="24"/>
      <c r="B27" s="24"/>
      <c r="C27" s="24"/>
      <c r="D27" s="24"/>
      <c r="E27" s="24"/>
      <c r="F27" s="24"/>
      <c r="G27" s="24"/>
      <c r="H27" s="24"/>
      <c r="I27" s="24"/>
      <c r="J27" s="24"/>
      <c r="K27" s="24"/>
      <c r="L27" s="24"/>
      <c r="M27" s="24"/>
      <c r="N27" s="24"/>
      <c r="O27" s="24"/>
      <c r="P27" s="24"/>
      <c r="Q27" s="24"/>
      <c r="R27" s="24"/>
      <c r="S27" s="24"/>
      <c r="T27" s="24"/>
      <c r="U27" s="24"/>
      <c r="V27" s="24"/>
      <c r="W27" s="24"/>
      <c r="X27" s="24"/>
    </row>
    <row r="28">
      <c r="A28" s="24"/>
      <c r="B28" s="24"/>
      <c r="C28" s="24"/>
      <c r="D28" s="24"/>
      <c r="E28" s="24"/>
      <c r="F28" s="24"/>
      <c r="G28" s="24"/>
      <c r="H28" s="24"/>
      <c r="I28" s="24"/>
      <c r="J28" s="24"/>
      <c r="K28" s="24"/>
      <c r="L28" s="24"/>
      <c r="M28" s="24"/>
      <c r="N28" s="24"/>
      <c r="O28" s="24"/>
      <c r="P28" s="24"/>
      <c r="Q28" s="24"/>
      <c r="R28" s="24"/>
      <c r="S28" s="24"/>
      <c r="T28" s="24"/>
      <c r="U28" s="24"/>
      <c r="V28" s="24"/>
      <c r="W28" s="24"/>
      <c r="X28" s="24"/>
    </row>
    <row r="29">
      <c r="A29" s="24"/>
      <c r="B29" s="24"/>
      <c r="C29" s="24"/>
      <c r="D29" s="24"/>
      <c r="E29" s="24"/>
      <c r="F29" s="24"/>
      <c r="G29" s="24"/>
      <c r="H29" s="24"/>
      <c r="I29" s="24"/>
      <c r="J29" s="24"/>
      <c r="K29" s="24"/>
      <c r="L29" s="24"/>
      <c r="M29" s="24"/>
      <c r="N29" s="24"/>
      <c r="O29" s="24"/>
      <c r="P29" s="24"/>
      <c r="Q29" s="24"/>
      <c r="R29" s="24"/>
      <c r="S29" s="24"/>
      <c r="T29" s="24"/>
      <c r="U29" s="24"/>
      <c r="V29" s="24"/>
      <c r="W29" s="24"/>
      <c r="X29" s="24"/>
    </row>
    <row r="30">
      <c r="A30" s="24"/>
      <c r="B30" s="24"/>
      <c r="C30" s="24"/>
      <c r="D30" s="24"/>
      <c r="E30" s="24"/>
      <c r="F30" s="24"/>
      <c r="G30" s="24"/>
      <c r="H30" s="24"/>
      <c r="I30" s="24"/>
      <c r="J30" s="24"/>
      <c r="K30" s="24"/>
      <c r="L30" s="24"/>
      <c r="M30" s="24"/>
      <c r="N30" s="24"/>
      <c r="O30" s="24"/>
      <c r="P30" s="24"/>
      <c r="Q30" s="24"/>
      <c r="R30" s="24"/>
      <c r="S30" s="24"/>
      <c r="T30" s="24"/>
      <c r="U30" s="24"/>
      <c r="V30" s="24"/>
      <c r="W30" s="24"/>
      <c r="X30" s="24"/>
    </row>
    <row r="31">
      <c r="A31" s="24"/>
      <c r="B31" s="24"/>
      <c r="C31" s="24"/>
      <c r="D31" s="24"/>
      <c r="E31" s="24"/>
      <c r="F31" s="24"/>
      <c r="G31" s="24"/>
      <c r="H31" s="24"/>
      <c r="I31" s="24"/>
      <c r="J31" s="24"/>
      <c r="K31" s="24"/>
      <c r="L31" s="24"/>
      <c r="M31" s="24"/>
      <c r="N31" s="24"/>
      <c r="O31" s="24"/>
      <c r="P31" s="24"/>
      <c r="Q31" s="24"/>
      <c r="R31" s="24"/>
      <c r="S31" s="24"/>
      <c r="T31" s="24"/>
      <c r="U31" s="24"/>
      <c r="V31" s="24"/>
      <c r="W31" s="24"/>
      <c r="X31" s="24"/>
    </row>
    <row r="32">
      <c r="A32" s="24"/>
      <c r="B32" s="24"/>
      <c r="C32" s="24"/>
      <c r="D32" s="24"/>
      <c r="E32" s="24"/>
      <c r="F32" s="24"/>
      <c r="G32" s="24"/>
      <c r="H32" s="24"/>
      <c r="I32" s="24"/>
      <c r="J32" s="24"/>
      <c r="K32" s="24"/>
      <c r="L32" s="24"/>
      <c r="M32" s="24"/>
      <c r="N32" s="24"/>
      <c r="O32" s="24"/>
      <c r="P32" s="24"/>
      <c r="Q32" s="24"/>
      <c r="R32" s="24"/>
      <c r="S32" s="24"/>
      <c r="T32" s="24"/>
      <c r="U32" s="24"/>
      <c r="V32" s="24"/>
      <c r="W32" s="24"/>
      <c r="X32" s="24"/>
    </row>
    <row r="33">
      <c r="A33" s="24"/>
      <c r="B33" s="24"/>
      <c r="C33" s="24"/>
      <c r="D33" s="24"/>
      <c r="E33" s="24"/>
      <c r="F33" s="24"/>
      <c r="G33" s="24"/>
      <c r="H33" s="24"/>
      <c r="I33" s="24"/>
      <c r="J33" s="24"/>
      <c r="K33" s="24"/>
      <c r="L33" s="24"/>
      <c r="M33" s="24"/>
      <c r="N33" s="24"/>
      <c r="O33" s="24"/>
      <c r="P33" s="24"/>
      <c r="Q33" s="24"/>
      <c r="R33" s="24"/>
      <c r="S33" s="24"/>
      <c r="T33" s="24"/>
      <c r="U33" s="24"/>
      <c r="V33" s="24"/>
      <c r="W33" s="24"/>
      <c r="X33" s="24"/>
    </row>
    <row r="34">
      <c r="A34" s="24"/>
      <c r="B34" s="24"/>
      <c r="C34" s="24"/>
      <c r="D34" s="24"/>
      <c r="E34" s="24"/>
      <c r="F34" s="24"/>
      <c r="G34" s="24"/>
      <c r="H34" s="24"/>
      <c r="I34" s="24"/>
      <c r="J34" s="24"/>
      <c r="K34" s="24"/>
      <c r="L34" s="24"/>
      <c r="M34" s="24"/>
      <c r="N34" s="24"/>
      <c r="O34" s="24"/>
      <c r="P34" s="24"/>
      <c r="Q34" s="24"/>
      <c r="R34" s="24"/>
      <c r="S34" s="24"/>
      <c r="T34" s="24"/>
      <c r="U34" s="24"/>
      <c r="V34" s="24"/>
      <c r="W34" s="24"/>
      <c r="X34" s="24"/>
    </row>
    <row r="35">
      <c r="A35" s="24"/>
      <c r="B35" s="24"/>
      <c r="C35" s="24"/>
      <c r="D35" s="24"/>
      <c r="E35" s="24"/>
      <c r="F35" s="24"/>
      <c r="G35" s="24"/>
      <c r="H35" s="24"/>
      <c r="I35" s="24"/>
      <c r="J35" s="24"/>
      <c r="K35" s="24"/>
      <c r="L35" s="24"/>
      <c r="M35" s="24"/>
      <c r="N35" s="24"/>
      <c r="O35" s="24"/>
      <c r="P35" s="24"/>
      <c r="Q35" s="24"/>
      <c r="R35" s="24"/>
      <c r="S35" s="24"/>
      <c r="T35" s="24"/>
      <c r="U35" s="24"/>
      <c r="V35" s="24"/>
      <c r="W35" s="24"/>
      <c r="X35" s="24"/>
    </row>
    <row r="36">
      <c r="A36" s="24"/>
      <c r="B36" s="24"/>
      <c r="C36" s="24"/>
      <c r="D36" s="24"/>
      <c r="E36" s="24"/>
      <c r="F36" s="24"/>
      <c r="G36" s="24"/>
      <c r="H36" s="24"/>
      <c r="I36" s="24"/>
      <c r="J36" s="24"/>
      <c r="K36" s="24"/>
      <c r="L36" s="24"/>
      <c r="M36" s="24"/>
      <c r="N36" s="24"/>
      <c r="O36" s="24"/>
      <c r="P36" s="24"/>
      <c r="Q36" s="24"/>
      <c r="R36" s="24"/>
      <c r="S36" s="24"/>
      <c r="T36" s="24"/>
      <c r="U36" s="24"/>
      <c r="V36" s="24"/>
      <c r="W36" s="24"/>
      <c r="X36" s="24"/>
    </row>
    <row r="37">
      <c r="A37" s="24"/>
      <c r="B37" s="24"/>
      <c r="C37" s="24"/>
      <c r="D37" s="24"/>
      <c r="E37" s="24"/>
      <c r="F37" s="24"/>
      <c r="G37" s="24"/>
      <c r="H37" s="24"/>
      <c r="I37" s="24"/>
      <c r="J37" s="24"/>
      <c r="K37" s="24"/>
      <c r="L37" s="24"/>
      <c r="M37" s="24"/>
      <c r="N37" s="24"/>
      <c r="O37" s="24"/>
      <c r="P37" s="24"/>
      <c r="Q37" s="24"/>
      <c r="R37" s="24"/>
      <c r="S37" s="24"/>
      <c r="T37" s="24"/>
      <c r="U37" s="24"/>
      <c r="V37" s="24"/>
      <c r="W37" s="24"/>
      <c r="X37" s="24"/>
    </row>
    <row r="38">
      <c r="A38" s="24"/>
      <c r="B38" s="24"/>
      <c r="C38" s="24"/>
      <c r="D38" s="24"/>
      <c r="E38" s="24"/>
      <c r="F38" s="24"/>
      <c r="G38" s="24"/>
      <c r="H38" s="24"/>
      <c r="I38" s="24"/>
      <c r="J38" s="24"/>
      <c r="K38" s="24"/>
      <c r="L38" s="24"/>
      <c r="M38" s="24"/>
      <c r="N38" s="24"/>
      <c r="O38" s="24"/>
      <c r="P38" s="24"/>
      <c r="Q38" s="24"/>
      <c r="R38" s="24"/>
      <c r="S38" s="24"/>
      <c r="T38" s="24"/>
      <c r="U38" s="24"/>
      <c r="V38" s="24"/>
      <c r="W38" s="24"/>
      <c r="X38" s="24"/>
    </row>
    <row r="39">
      <c r="A39" s="24"/>
      <c r="B39" s="24"/>
      <c r="C39" s="24"/>
      <c r="D39" s="24"/>
      <c r="E39" s="24"/>
      <c r="F39" s="24"/>
      <c r="G39" s="24"/>
      <c r="H39" s="24"/>
      <c r="I39" s="24"/>
      <c r="J39" s="24"/>
      <c r="K39" s="24"/>
      <c r="L39" s="24"/>
      <c r="M39" s="24"/>
      <c r="N39" s="24"/>
      <c r="O39" s="24"/>
      <c r="P39" s="24"/>
      <c r="Q39" s="24"/>
      <c r="R39" s="24"/>
      <c r="S39" s="24"/>
      <c r="T39" s="24"/>
      <c r="U39" s="24"/>
      <c r="V39" s="24"/>
      <c r="W39" s="24"/>
      <c r="X39" s="24"/>
    </row>
    <row r="40">
      <c r="A40" s="24"/>
      <c r="B40" s="24"/>
      <c r="C40" s="24"/>
      <c r="D40" s="24"/>
      <c r="E40" s="24"/>
      <c r="F40" s="24"/>
      <c r="G40" s="24"/>
      <c r="H40" s="24"/>
      <c r="I40" s="24"/>
      <c r="J40" s="24"/>
      <c r="K40" s="24"/>
      <c r="L40" s="24"/>
      <c r="M40" s="24"/>
      <c r="N40" s="24"/>
      <c r="O40" s="24"/>
      <c r="P40" s="24"/>
      <c r="Q40" s="24"/>
      <c r="R40" s="24"/>
      <c r="S40" s="24"/>
      <c r="T40" s="24"/>
      <c r="U40" s="24"/>
      <c r="V40" s="24"/>
      <c r="W40" s="24"/>
      <c r="X40" s="24"/>
    </row>
    <row r="41">
      <c r="A41" s="24"/>
      <c r="B41" s="24"/>
      <c r="C41" s="24"/>
      <c r="D41" s="24"/>
      <c r="E41" s="24"/>
      <c r="F41" s="24"/>
      <c r="G41" s="24"/>
      <c r="H41" s="24"/>
      <c r="I41" s="24"/>
      <c r="J41" s="24"/>
      <c r="K41" s="24"/>
      <c r="L41" s="24"/>
      <c r="M41" s="24"/>
      <c r="N41" s="24"/>
      <c r="O41" s="24"/>
      <c r="P41" s="24"/>
      <c r="Q41" s="24"/>
      <c r="R41" s="24"/>
      <c r="S41" s="24"/>
      <c r="T41" s="24"/>
      <c r="U41" s="24"/>
      <c r="V41" s="24"/>
      <c r="W41" s="24"/>
      <c r="X41" s="24"/>
    </row>
    <row r="42">
      <c r="A42" s="24"/>
      <c r="B42" s="24"/>
      <c r="C42" s="24"/>
      <c r="D42" s="24"/>
      <c r="E42" s="24"/>
      <c r="F42" s="24"/>
      <c r="G42" s="24"/>
      <c r="H42" s="24"/>
      <c r="I42" s="24"/>
      <c r="J42" s="24"/>
      <c r="K42" s="24"/>
      <c r="L42" s="24"/>
      <c r="M42" s="24"/>
      <c r="N42" s="24"/>
      <c r="O42" s="24"/>
      <c r="P42" s="24"/>
      <c r="Q42" s="24"/>
      <c r="R42" s="24"/>
      <c r="S42" s="24"/>
      <c r="T42" s="24"/>
      <c r="U42" s="24"/>
      <c r="V42" s="24"/>
      <c r="W42" s="24"/>
      <c r="X42" s="24"/>
    </row>
    <row r="43">
      <c r="A43" s="24"/>
      <c r="B43" s="24"/>
      <c r="C43" s="24"/>
      <c r="D43" s="24"/>
      <c r="E43" s="24"/>
      <c r="F43" s="24"/>
      <c r="G43" s="24"/>
      <c r="H43" s="24"/>
      <c r="I43" s="24"/>
      <c r="J43" s="24"/>
      <c r="K43" s="24"/>
      <c r="L43" s="24"/>
      <c r="M43" s="24"/>
      <c r="N43" s="24"/>
      <c r="O43" s="24"/>
      <c r="P43" s="24"/>
      <c r="Q43" s="24"/>
      <c r="R43" s="24"/>
      <c r="S43" s="24"/>
      <c r="T43" s="24"/>
      <c r="U43" s="24"/>
      <c r="V43" s="24"/>
      <c r="W43" s="24"/>
      <c r="X43" s="24"/>
    </row>
    <row r="44">
      <c r="A44" s="24"/>
      <c r="B44" s="24"/>
      <c r="C44" s="24"/>
      <c r="D44" s="24"/>
      <c r="E44" s="24"/>
      <c r="F44" s="24"/>
      <c r="G44" s="24"/>
      <c r="H44" s="24"/>
      <c r="I44" s="24"/>
      <c r="J44" s="24"/>
      <c r="K44" s="24"/>
      <c r="L44" s="24"/>
      <c r="M44" s="24"/>
      <c r="N44" s="24"/>
      <c r="O44" s="24"/>
      <c r="P44" s="24"/>
      <c r="Q44" s="24"/>
      <c r="R44" s="24"/>
      <c r="S44" s="24"/>
      <c r="T44" s="24"/>
      <c r="U44" s="24"/>
      <c r="V44" s="24"/>
      <c r="W44" s="24"/>
      <c r="X44" s="24"/>
    </row>
    <row r="45">
      <c r="A45" s="24"/>
      <c r="B45" s="24"/>
      <c r="C45" s="24"/>
      <c r="D45" s="24"/>
      <c r="E45" s="24"/>
      <c r="F45" s="24"/>
      <c r="G45" s="24"/>
      <c r="H45" s="24"/>
      <c r="I45" s="24"/>
      <c r="J45" s="24"/>
      <c r="K45" s="24"/>
      <c r="L45" s="24"/>
      <c r="M45" s="24"/>
      <c r="N45" s="24"/>
      <c r="O45" s="24"/>
      <c r="P45" s="24"/>
      <c r="Q45" s="24"/>
      <c r="R45" s="24"/>
      <c r="S45" s="24"/>
      <c r="T45" s="24"/>
      <c r="U45" s="24"/>
      <c r="V45" s="24"/>
      <c r="W45" s="24"/>
      <c r="X45" s="24"/>
    </row>
    <row r="46">
      <c r="A46" s="24"/>
      <c r="B46" s="24"/>
      <c r="C46" s="24"/>
      <c r="D46" s="24"/>
      <c r="E46" s="24"/>
      <c r="F46" s="24"/>
      <c r="G46" s="24"/>
      <c r="H46" s="24"/>
      <c r="I46" s="24"/>
      <c r="J46" s="24"/>
      <c r="K46" s="24"/>
      <c r="L46" s="24"/>
      <c r="M46" s="24"/>
      <c r="N46" s="24"/>
      <c r="O46" s="24"/>
      <c r="P46" s="24"/>
      <c r="Q46" s="24"/>
      <c r="R46" s="24"/>
      <c r="S46" s="24"/>
      <c r="T46" s="24"/>
      <c r="U46" s="24"/>
      <c r="V46" s="24"/>
      <c r="W46" s="24"/>
      <c r="X46" s="24"/>
    </row>
    <row r="47">
      <c r="A47" s="24"/>
      <c r="B47" s="24"/>
      <c r="C47" s="24"/>
      <c r="D47" s="24"/>
      <c r="E47" s="24"/>
      <c r="F47" s="24"/>
      <c r="G47" s="24"/>
      <c r="H47" s="24"/>
      <c r="I47" s="24"/>
      <c r="J47" s="24"/>
      <c r="K47" s="24"/>
      <c r="L47" s="24"/>
      <c r="M47" s="24"/>
      <c r="N47" s="24"/>
      <c r="O47" s="24"/>
      <c r="P47" s="24"/>
      <c r="Q47" s="24"/>
      <c r="R47" s="24"/>
      <c r="S47" s="24"/>
      <c r="T47" s="24"/>
      <c r="U47" s="24"/>
      <c r="V47" s="24"/>
      <c r="W47" s="24"/>
      <c r="X47" s="24"/>
    </row>
    <row r="48">
      <c r="A48" s="24"/>
      <c r="B48" s="24"/>
      <c r="C48" s="24"/>
      <c r="D48" s="24"/>
      <c r="E48" s="24"/>
      <c r="F48" s="24"/>
      <c r="G48" s="24"/>
      <c r="H48" s="24"/>
      <c r="I48" s="24"/>
      <c r="J48" s="24"/>
      <c r="K48" s="24"/>
      <c r="L48" s="24"/>
      <c r="M48" s="24"/>
      <c r="N48" s="24"/>
      <c r="O48" s="24"/>
      <c r="P48" s="24"/>
      <c r="Q48" s="24"/>
      <c r="R48" s="24"/>
      <c r="S48" s="24"/>
      <c r="T48" s="24"/>
      <c r="U48" s="24"/>
      <c r="V48" s="24"/>
      <c r="W48" s="24"/>
      <c r="X48" s="24"/>
    </row>
    <row r="49">
      <c r="A49" s="24"/>
      <c r="B49" s="24"/>
      <c r="C49" s="24"/>
      <c r="D49" s="24"/>
      <c r="E49" s="24"/>
      <c r="F49" s="24"/>
      <c r="G49" s="24"/>
      <c r="H49" s="24"/>
      <c r="I49" s="24"/>
      <c r="J49" s="24"/>
      <c r="K49" s="24"/>
      <c r="L49" s="24"/>
      <c r="M49" s="24"/>
      <c r="N49" s="24"/>
      <c r="O49" s="24"/>
      <c r="P49" s="24"/>
      <c r="Q49" s="24"/>
      <c r="R49" s="24"/>
      <c r="S49" s="24"/>
      <c r="T49" s="24"/>
      <c r="U49" s="24"/>
      <c r="V49" s="24"/>
      <c r="W49" s="24"/>
      <c r="X49" s="24"/>
    </row>
    <row r="50">
      <c r="A50" s="24"/>
      <c r="B50" s="24"/>
      <c r="C50" s="24"/>
      <c r="D50" s="24"/>
      <c r="E50" s="24"/>
      <c r="F50" s="24"/>
      <c r="G50" s="24"/>
      <c r="H50" s="24"/>
      <c r="I50" s="24"/>
      <c r="J50" s="24"/>
      <c r="K50" s="24"/>
      <c r="L50" s="24"/>
      <c r="M50" s="24"/>
      <c r="N50" s="24"/>
      <c r="O50" s="24"/>
      <c r="P50" s="24"/>
      <c r="Q50" s="24"/>
      <c r="R50" s="24"/>
      <c r="S50" s="24"/>
      <c r="T50" s="24"/>
      <c r="U50" s="24"/>
      <c r="V50" s="24"/>
      <c r="W50" s="24"/>
      <c r="X50" s="24"/>
    </row>
    <row r="51">
      <c r="A51" s="24"/>
      <c r="B51" s="24"/>
      <c r="C51" s="24"/>
      <c r="D51" s="24"/>
      <c r="E51" s="24"/>
      <c r="F51" s="24"/>
      <c r="G51" s="24"/>
      <c r="H51" s="24"/>
      <c r="I51" s="24"/>
      <c r="J51" s="24"/>
      <c r="K51" s="24"/>
      <c r="L51" s="24"/>
      <c r="M51" s="24"/>
      <c r="N51" s="24"/>
      <c r="O51" s="24"/>
      <c r="P51" s="24"/>
      <c r="Q51" s="24"/>
      <c r="R51" s="24"/>
      <c r="S51" s="24"/>
      <c r="T51" s="24"/>
      <c r="U51" s="24"/>
      <c r="V51" s="24"/>
      <c r="W51" s="24"/>
      <c r="X51" s="24"/>
    </row>
    <row r="52">
      <c r="A52" s="24"/>
      <c r="B52" s="24"/>
      <c r="C52" s="24"/>
      <c r="D52" s="24"/>
      <c r="E52" s="24"/>
      <c r="F52" s="24"/>
      <c r="G52" s="24"/>
      <c r="H52" s="24"/>
      <c r="I52" s="24"/>
      <c r="J52" s="24"/>
      <c r="K52" s="24"/>
      <c r="L52" s="24"/>
      <c r="M52" s="24"/>
      <c r="N52" s="24"/>
      <c r="O52" s="24"/>
      <c r="P52" s="24"/>
      <c r="Q52" s="24"/>
      <c r="R52" s="24"/>
      <c r="S52" s="24"/>
      <c r="T52" s="24"/>
      <c r="U52" s="24"/>
      <c r="V52" s="24"/>
      <c r="W52" s="24"/>
      <c r="X52" s="24"/>
    </row>
    <row r="53">
      <c r="A53" s="24"/>
      <c r="B53" s="24"/>
      <c r="C53" s="24"/>
      <c r="D53" s="24"/>
      <c r="E53" s="24"/>
      <c r="F53" s="24"/>
      <c r="G53" s="24"/>
      <c r="H53" s="24"/>
      <c r="I53" s="24"/>
      <c r="J53" s="24"/>
      <c r="K53" s="24"/>
      <c r="L53" s="24"/>
      <c r="M53" s="24"/>
      <c r="N53" s="24"/>
      <c r="O53" s="24"/>
      <c r="P53" s="24"/>
      <c r="Q53" s="24"/>
      <c r="R53" s="24"/>
      <c r="S53" s="24"/>
      <c r="T53" s="24"/>
      <c r="U53" s="24"/>
      <c r="V53" s="24"/>
      <c r="W53" s="24"/>
      <c r="X53" s="24"/>
    </row>
    <row r="54">
      <c r="A54" s="24"/>
      <c r="B54" s="24"/>
      <c r="C54" s="24"/>
      <c r="D54" s="24"/>
      <c r="E54" s="24"/>
      <c r="F54" s="24"/>
      <c r="G54" s="24"/>
      <c r="H54" s="24"/>
      <c r="I54" s="24"/>
      <c r="J54" s="24"/>
      <c r="K54" s="24"/>
      <c r="L54" s="24"/>
      <c r="M54" s="24"/>
      <c r="N54" s="24"/>
      <c r="O54" s="24"/>
      <c r="P54" s="24"/>
      <c r="Q54" s="24"/>
      <c r="R54" s="24"/>
      <c r="S54" s="24"/>
      <c r="T54" s="24"/>
      <c r="U54" s="24"/>
      <c r="V54" s="24"/>
      <c r="W54" s="24"/>
      <c r="X54" s="24"/>
    </row>
    <row r="55">
      <c r="A55" s="24"/>
      <c r="B55" s="24"/>
      <c r="C55" s="24"/>
      <c r="D55" s="24"/>
      <c r="E55" s="24"/>
      <c r="F55" s="24"/>
      <c r="G55" s="24"/>
      <c r="H55" s="24"/>
      <c r="I55" s="24"/>
      <c r="J55" s="24"/>
      <c r="K55" s="24"/>
      <c r="L55" s="24"/>
      <c r="M55" s="24"/>
      <c r="N55" s="24"/>
      <c r="O55" s="24"/>
      <c r="P55" s="24"/>
      <c r="Q55" s="24"/>
      <c r="R55" s="24"/>
      <c r="S55" s="24"/>
      <c r="T55" s="24"/>
      <c r="U55" s="24"/>
      <c r="V55" s="24"/>
      <c r="W55" s="24"/>
      <c r="X55" s="24"/>
    </row>
    <row r="56">
      <c r="A56" s="24"/>
      <c r="B56" s="24"/>
      <c r="C56" s="24"/>
      <c r="D56" s="24"/>
      <c r="E56" s="24"/>
      <c r="F56" s="24"/>
      <c r="G56" s="24"/>
      <c r="H56" s="24"/>
      <c r="I56" s="24"/>
      <c r="J56" s="24"/>
      <c r="K56" s="24"/>
      <c r="L56" s="24"/>
      <c r="M56" s="24"/>
      <c r="N56" s="24"/>
      <c r="O56" s="24"/>
      <c r="P56" s="24"/>
      <c r="Q56" s="24"/>
      <c r="R56" s="24"/>
      <c r="S56" s="24"/>
      <c r="T56" s="24"/>
      <c r="U56" s="24"/>
      <c r="V56" s="24"/>
      <c r="W56" s="24"/>
      <c r="X56" s="24"/>
    </row>
    <row r="57">
      <c r="A57" s="24"/>
      <c r="B57" s="24"/>
      <c r="C57" s="24"/>
      <c r="D57" s="24"/>
      <c r="E57" s="24"/>
      <c r="F57" s="24"/>
      <c r="G57" s="24"/>
      <c r="H57" s="24"/>
      <c r="I57" s="24"/>
      <c r="J57" s="24"/>
      <c r="K57" s="24"/>
      <c r="L57" s="24"/>
      <c r="M57" s="24"/>
      <c r="N57" s="24"/>
      <c r="O57" s="24"/>
      <c r="P57" s="24"/>
      <c r="Q57" s="24"/>
      <c r="R57" s="24"/>
      <c r="S57" s="24"/>
      <c r="T57" s="24"/>
      <c r="U57" s="24"/>
      <c r="V57" s="24"/>
      <c r="W57" s="24"/>
      <c r="X57" s="24"/>
    </row>
    <row r="58">
      <c r="A58" s="24"/>
      <c r="B58" s="24"/>
      <c r="C58" s="24"/>
      <c r="D58" s="24"/>
      <c r="E58" s="24"/>
      <c r="F58" s="24"/>
      <c r="G58" s="24"/>
      <c r="H58" s="24"/>
      <c r="I58" s="24"/>
      <c r="J58" s="24"/>
      <c r="K58" s="24"/>
      <c r="L58" s="24"/>
      <c r="M58" s="24"/>
      <c r="N58" s="24"/>
      <c r="O58" s="24"/>
      <c r="P58" s="24"/>
      <c r="Q58" s="24"/>
      <c r="R58" s="24"/>
      <c r="S58" s="24"/>
      <c r="T58" s="24"/>
      <c r="U58" s="24"/>
      <c r="V58" s="24"/>
      <c r="W58" s="24"/>
      <c r="X58" s="24"/>
    </row>
    <row r="59">
      <c r="A59" s="24"/>
      <c r="B59" s="24"/>
      <c r="C59" s="24"/>
      <c r="D59" s="24"/>
      <c r="E59" s="24"/>
      <c r="F59" s="24"/>
      <c r="G59" s="24"/>
      <c r="H59" s="24"/>
      <c r="I59" s="24"/>
      <c r="J59" s="24"/>
      <c r="K59" s="24"/>
      <c r="L59" s="24"/>
      <c r="M59" s="24"/>
      <c r="N59" s="24"/>
      <c r="O59" s="24"/>
      <c r="P59" s="24"/>
      <c r="Q59" s="24"/>
      <c r="R59" s="24"/>
      <c r="S59" s="24"/>
      <c r="T59" s="24"/>
      <c r="U59" s="24"/>
      <c r="V59" s="24"/>
      <c r="W59" s="24"/>
      <c r="X59" s="24"/>
    </row>
    <row r="60">
      <c r="A60" s="24"/>
      <c r="B60" s="24"/>
      <c r="C60" s="24"/>
      <c r="D60" s="24"/>
      <c r="E60" s="24"/>
      <c r="F60" s="24"/>
      <c r="G60" s="24"/>
      <c r="H60" s="24"/>
      <c r="I60" s="24"/>
      <c r="J60" s="24"/>
      <c r="K60" s="24"/>
      <c r="L60" s="24"/>
      <c r="M60" s="24"/>
      <c r="N60" s="24"/>
      <c r="O60" s="24"/>
      <c r="P60" s="24"/>
      <c r="Q60" s="24"/>
      <c r="R60" s="24"/>
      <c r="S60" s="24"/>
      <c r="T60" s="24"/>
      <c r="U60" s="24"/>
      <c r="V60" s="24"/>
      <c r="W60" s="24"/>
      <c r="X60" s="24"/>
    </row>
    <row r="61">
      <c r="A61" s="24"/>
      <c r="B61" s="24"/>
      <c r="C61" s="24"/>
      <c r="D61" s="24"/>
      <c r="E61" s="24"/>
      <c r="F61" s="24"/>
      <c r="G61" s="24"/>
      <c r="H61" s="24"/>
      <c r="I61" s="24"/>
      <c r="J61" s="24"/>
      <c r="K61" s="24"/>
      <c r="L61" s="24"/>
      <c r="M61" s="24"/>
      <c r="N61" s="24"/>
      <c r="O61" s="24"/>
      <c r="P61" s="24"/>
      <c r="Q61" s="24"/>
      <c r="R61" s="24"/>
      <c r="S61" s="24"/>
      <c r="T61" s="24"/>
      <c r="U61" s="24"/>
      <c r="V61" s="24"/>
      <c r="W61" s="24"/>
      <c r="X61" s="24"/>
    </row>
    <row r="62">
      <c r="A62" s="24"/>
      <c r="B62" s="24"/>
      <c r="C62" s="24"/>
      <c r="D62" s="24"/>
      <c r="E62" s="24"/>
      <c r="F62" s="24"/>
      <c r="G62" s="24"/>
      <c r="H62" s="24"/>
      <c r="I62" s="24"/>
      <c r="J62" s="24"/>
      <c r="K62" s="24"/>
      <c r="L62" s="24"/>
      <c r="M62" s="24"/>
      <c r="N62" s="24"/>
      <c r="O62" s="24"/>
      <c r="P62" s="24"/>
      <c r="Q62" s="24"/>
      <c r="R62" s="24"/>
      <c r="S62" s="24"/>
      <c r="T62" s="24"/>
      <c r="U62" s="24"/>
      <c r="V62" s="24"/>
      <c r="W62" s="24"/>
      <c r="X62" s="24"/>
    </row>
    <row r="63">
      <c r="A63" s="24"/>
      <c r="B63" s="24"/>
      <c r="C63" s="24"/>
      <c r="D63" s="24"/>
      <c r="E63" s="24"/>
      <c r="F63" s="24"/>
      <c r="G63" s="24"/>
      <c r="H63" s="24"/>
      <c r="I63" s="24"/>
      <c r="J63" s="24"/>
      <c r="K63" s="24"/>
      <c r="L63" s="24"/>
      <c r="M63" s="24"/>
      <c r="N63" s="24"/>
      <c r="O63" s="24"/>
      <c r="P63" s="24"/>
      <c r="Q63" s="24"/>
      <c r="R63" s="24"/>
      <c r="S63" s="24"/>
      <c r="T63" s="24"/>
      <c r="U63" s="24"/>
      <c r="V63" s="24"/>
      <c r="W63" s="24"/>
      <c r="X63" s="24"/>
    </row>
    <row r="64">
      <c r="A64" s="24"/>
      <c r="B64" s="24"/>
      <c r="C64" s="24"/>
      <c r="D64" s="24"/>
      <c r="E64" s="24"/>
      <c r="F64" s="24"/>
      <c r="G64" s="24"/>
      <c r="H64" s="24"/>
      <c r="I64" s="24"/>
      <c r="J64" s="24"/>
      <c r="K64" s="24"/>
      <c r="L64" s="24"/>
      <c r="M64" s="24"/>
      <c r="N64" s="24"/>
      <c r="O64" s="24"/>
      <c r="P64" s="24"/>
      <c r="Q64" s="24"/>
      <c r="R64" s="24"/>
      <c r="S64" s="24"/>
      <c r="T64" s="24"/>
      <c r="U64" s="24"/>
      <c r="V64" s="24"/>
      <c r="W64" s="24"/>
      <c r="X64" s="24"/>
    </row>
    <row r="65">
      <c r="A65" s="24"/>
      <c r="B65" s="24"/>
      <c r="C65" s="24"/>
      <c r="D65" s="24"/>
      <c r="E65" s="24"/>
      <c r="F65" s="24"/>
      <c r="G65" s="24"/>
      <c r="H65" s="24"/>
      <c r="I65" s="24"/>
      <c r="J65" s="24"/>
      <c r="K65" s="24"/>
      <c r="L65" s="24"/>
      <c r="M65" s="24"/>
      <c r="N65" s="24"/>
      <c r="O65" s="24"/>
      <c r="P65" s="24"/>
      <c r="Q65" s="24"/>
      <c r="R65" s="24"/>
      <c r="S65" s="24"/>
      <c r="T65" s="24"/>
      <c r="U65" s="24"/>
      <c r="V65" s="24"/>
      <c r="W65" s="24"/>
      <c r="X65" s="24"/>
    </row>
    <row r="66">
      <c r="A66" s="24"/>
      <c r="B66" s="24"/>
      <c r="C66" s="24"/>
      <c r="D66" s="24"/>
      <c r="E66" s="24"/>
      <c r="F66" s="24"/>
      <c r="G66" s="24"/>
      <c r="H66" s="24"/>
      <c r="I66" s="24"/>
      <c r="J66" s="24"/>
      <c r="K66" s="24"/>
      <c r="L66" s="24"/>
      <c r="M66" s="24"/>
      <c r="N66" s="24"/>
      <c r="O66" s="24"/>
      <c r="P66" s="24"/>
      <c r="Q66" s="24"/>
      <c r="R66" s="24"/>
      <c r="S66" s="24"/>
      <c r="T66" s="24"/>
      <c r="U66" s="24"/>
      <c r="V66" s="24"/>
      <c r="W66" s="24"/>
      <c r="X66" s="24"/>
    </row>
    <row r="67">
      <c r="A67" s="24"/>
      <c r="B67" s="24"/>
      <c r="C67" s="24"/>
      <c r="D67" s="24"/>
      <c r="E67" s="24"/>
      <c r="F67" s="24"/>
      <c r="G67" s="24"/>
      <c r="H67" s="24"/>
      <c r="I67" s="24"/>
      <c r="J67" s="24"/>
      <c r="K67" s="24"/>
      <c r="L67" s="24"/>
      <c r="M67" s="24"/>
      <c r="N67" s="24"/>
      <c r="O67" s="24"/>
      <c r="P67" s="24"/>
      <c r="Q67" s="24"/>
      <c r="R67" s="24"/>
      <c r="S67" s="24"/>
      <c r="T67" s="24"/>
      <c r="U67" s="24"/>
      <c r="V67" s="24"/>
      <c r="W67" s="24"/>
      <c r="X67" s="24"/>
    </row>
    <row r="68">
      <c r="A68" s="24"/>
      <c r="B68" s="24"/>
      <c r="C68" s="24"/>
      <c r="D68" s="24"/>
      <c r="E68" s="24"/>
      <c r="F68" s="24"/>
      <c r="G68" s="24"/>
      <c r="H68" s="24"/>
      <c r="I68" s="24"/>
      <c r="J68" s="24"/>
      <c r="K68" s="24"/>
      <c r="L68" s="24"/>
      <c r="M68" s="24"/>
      <c r="N68" s="24"/>
      <c r="O68" s="24"/>
      <c r="P68" s="24"/>
      <c r="Q68" s="24"/>
      <c r="R68" s="24"/>
      <c r="S68" s="24"/>
      <c r="T68" s="24"/>
      <c r="U68" s="24"/>
      <c r="V68" s="24"/>
      <c r="W68" s="24"/>
      <c r="X68" s="24"/>
    </row>
    <row r="69">
      <c r="A69" s="24"/>
      <c r="B69" s="24"/>
      <c r="C69" s="24"/>
      <c r="D69" s="24"/>
      <c r="E69" s="24"/>
      <c r="F69" s="24"/>
      <c r="G69" s="24"/>
      <c r="H69" s="24"/>
      <c r="I69" s="24"/>
      <c r="J69" s="24"/>
      <c r="K69" s="24"/>
      <c r="L69" s="24"/>
      <c r="M69" s="24"/>
      <c r="N69" s="24"/>
      <c r="O69" s="24"/>
      <c r="P69" s="24"/>
      <c r="Q69" s="24"/>
      <c r="R69" s="24"/>
      <c r="S69" s="24"/>
      <c r="T69" s="24"/>
      <c r="U69" s="24"/>
      <c r="V69" s="24"/>
      <c r="W69" s="24"/>
      <c r="X69" s="24"/>
    </row>
    <row r="70">
      <c r="A70" s="24"/>
      <c r="B70" s="24"/>
      <c r="C70" s="24"/>
      <c r="D70" s="24"/>
      <c r="E70" s="24"/>
      <c r="F70" s="24"/>
      <c r="G70" s="24"/>
      <c r="H70" s="24"/>
      <c r="I70" s="24"/>
      <c r="J70" s="24"/>
      <c r="K70" s="24"/>
      <c r="L70" s="24"/>
      <c r="M70" s="24"/>
      <c r="N70" s="24"/>
      <c r="O70" s="24"/>
      <c r="P70" s="24"/>
      <c r="Q70" s="24"/>
      <c r="R70" s="24"/>
      <c r="S70" s="24"/>
      <c r="T70" s="24"/>
      <c r="U70" s="24"/>
      <c r="V70" s="24"/>
      <c r="W70" s="24"/>
      <c r="X70" s="24"/>
    </row>
    <row r="71">
      <c r="A71" s="24"/>
      <c r="B71" s="24"/>
      <c r="C71" s="24"/>
      <c r="D71" s="24"/>
      <c r="E71" s="24"/>
      <c r="F71" s="24"/>
      <c r="G71" s="24"/>
      <c r="H71" s="24"/>
      <c r="I71" s="24"/>
      <c r="J71" s="24"/>
      <c r="K71" s="24"/>
      <c r="L71" s="24"/>
      <c r="M71" s="24"/>
      <c r="N71" s="24"/>
      <c r="O71" s="24"/>
      <c r="P71" s="24"/>
      <c r="Q71" s="24"/>
      <c r="R71" s="24"/>
      <c r="S71" s="24"/>
      <c r="T71" s="24"/>
      <c r="U71" s="24"/>
      <c r="V71" s="24"/>
      <c r="W71" s="24"/>
      <c r="X71" s="24"/>
    </row>
    <row r="72">
      <c r="A72" s="24"/>
      <c r="B72" s="24"/>
      <c r="C72" s="24"/>
      <c r="D72" s="24"/>
      <c r="E72" s="24"/>
      <c r="F72" s="24"/>
      <c r="G72" s="24"/>
      <c r="H72" s="24"/>
      <c r="I72" s="24"/>
      <c r="J72" s="24"/>
      <c r="K72" s="24"/>
      <c r="L72" s="24"/>
      <c r="M72" s="24"/>
      <c r="N72" s="24"/>
      <c r="O72" s="24"/>
      <c r="P72" s="24"/>
      <c r="Q72" s="24"/>
      <c r="R72" s="24"/>
      <c r="S72" s="24"/>
      <c r="T72" s="24"/>
      <c r="U72" s="24"/>
      <c r="V72" s="24"/>
      <c r="W72" s="24"/>
      <c r="X72" s="24"/>
    </row>
    <row r="73">
      <c r="A73" s="24"/>
      <c r="B73" s="24"/>
      <c r="C73" s="24"/>
      <c r="D73" s="24"/>
      <c r="E73" s="24"/>
      <c r="F73" s="24"/>
      <c r="G73" s="24"/>
      <c r="H73" s="24"/>
      <c r="I73" s="24"/>
      <c r="J73" s="24"/>
      <c r="K73" s="24"/>
      <c r="L73" s="24"/>
      <c r="M73" s="24"/>
      <c r="N73" s="24"/>
      <c r="O73" s="24"/>
      <c r="P73" s="24"/>
      <c r="Q73" s="24"/>
      <c r="R73" s="24"/>
      <c r="S73" s="24"/>
      <c r="T73" s="24"/>
      <c r="U73" s="24"/>
      <c r="V73" s="24"/>
      <c r="W73" s="24"/>
      <c r="X73" s="24"/>
    </row>
    <row r="74">
      <c r="A74" s="24"/>
      <c r="B74" s="24"/>
      <c r="C74" s="24"/>
      <c r="D74" s="24"/>
      <c r="E74" s="24"/>
      <c r="F74" s="24"/>
      <c r="G74" s="24"/>
      <c r="H74" s="24"/>
      <c r="I74" s="24"/>
      <c r="J74" s="24"/>
      <c r="K74" s="24"/>
      <c r="L74" s="24"/>
      <c r="M74" s="24"/>
      <c r="N74" s="24"/>
      <c r="O74" s="24"/>
      <c r="P74" s="24"/>
      <c r="Q74" s="24"/>
      <c r="R74" s="24"/>
      <c r="S74" s="24"/>
      <c r="T74" s="24"/>
      <c r="U74" s="24"/>
      <c r="V74" s="24"/>
      <c r="W74" s="24"/>
      <c r="X74" s="24"/>
    </row>
    <row r="75">
      <c r="A75" s="24"/>
      <c r="B75" s="24"/>
      <c r="C75" s="24"/>
      <c r="D75" s="24"/>
      <c r="E75" s="24"/>
      <c r="F75" s="24"/>
      <c r="G75" s="24"/>
      <c r="H75" s="24"/>
      <c r="I75" s="24"/>
      <c r="J75" s="24"/>
      <c r="K75" s="24"/>
      <c r="L75" s="24"/>
      <c r="M75" s="24"/>
      <c r="N75" s="24"/>
      <c r="O75" s="24"/>
      <c r="P75" s="24"/>
      <c r="Q75" s="24"/>
      <c r="R75" s="24"/>
      <c r="S75" s="24"/>
      <c r="T75" s="24"/>
      <c r="U75" s="24"/>
      <c r="V75" s="24"/>
      <c r="W75" s="24"/>
      <c r="X75" s="24"/>
    </row>
    <row r="76">
      <c r="A76" s="24"/>
      <c r="B76" s="24"/>
      <c r="C76" s="24"/>
      <c r="D76" s="24"/>
      <c r="E76" s="24"/>
      <c r="F76" s="24"/>
      <c r="G76" s="24"/>
      <c r="H76" s="24"/>
      <c r="I76" s="24"/>
      <c r="J76" s="24"/>
      <c r="K76" s="24"/>
      <c r="L76" s="24"/>
      <c r="M76" s="24"/>
      <c r="N76" s="24"/>
      <c r="O76" s="24"/>
      <c r="P76" s="24"/>
      <c r="Q76" s="24"/>
      <c r="R76" s="24"/>
      <c r="S76" s="24"/>
      <c r="T76" s="24"/>
      <c r="U76" s="24"/>
      <c r="V76" s="24"/>
      <c r="W76" s="24"/>
      <c r="X76" s="24"/>
    </row>
    <row r="77">
      <c r="A77" s="24"/>
      <c r="B77" s="24"/>
      <c r="C77" s="24"/>
      <c r="D77" s="24"/>
      <c r="E77" s="24"/>
      <c r="F77" s="24"/>
      <c r="G77" s="24"/>
      <c r="H77" s="24"/>
      <c r="I77" s="24"/>
      <c r="J77" s="24"/>
      <c r="K77" s="24"/>
      <c r="L77" s="24"/>
      <c r="M77" s="24"/>
      <c r="N77" s="24"/>
      <c r="O77" s="24"/>
      <c r="P77" s="24"/>
      <c r="Q77" s="24"/>
      <c r="R77" s="24"/>
      <c r="S77" s="24"/>
      <c r="T77" s="24"/>
      <c r="U77" s="24"/>
      <c r="V77" s="24"/>
      <c r="W77" s="24"/>
      <c r="X77" s="24"/>
    </row>
    <row r="78">
      <c r="A78" s="24"/>
      <c r="B78" s="24"/>
      <c r="C78" s="24"/>
      <c r="D78" s="24"/>
      <c r="E78" s="24"/>
      <c r="F78" s="24"/>
      <c r="G78" s="24"/>
      <c r="H78" s="24"/>
      <c r="I78" s="24"/>
      <c r="J78" s="24"/>
      <c r="K78" s="24"/>
      <c r="L78" s="24"/>
      <c r="M78" s="24"/>
      <c r="N78" s="24"/>
      <c r="O78" s="24"/>
      <c r="P78" s="24"/>
      <c r="Q78" s="24"/>
      <c r="R78" s="24"/>
      <c r="S78" s="24"/>
      <c r="T78" s="24"/>
      <c r="U78" s="24"/>
      <c r="V78" s="24"/>
      <c r="W78" s="24"/>
      <c r="X78" s="24"/>
    </row>
    <row r="79">
      <c r="A79" s="24"/>
      <c r="B79" s="24"/>
      <c r="C79" s="24"/>
      <c r="D79" s="24"/>
      <c r="E79" s="24"/>
      <c r="F79" s="24"/>
      <c r="G79" s="24"/>
      <c r="H79" s="24"/>
      <c r="I79" s="24"/>
      <c r="J79" s="24"/>
      <c r="K79" s="24"/>
      <c r="L79" s="24"/>
      <c r="M79" s="24"/>
      <c r="N79" s="24"/>
      <c r="O79" s="24"/>
      <c r="P79" s="24"/>
      <c r="Q79" s="24"/>
      <c r="R79" s="24"/>
      <c r="S79" s="24"/>
      <c r="T79" s="24"/>
      <c r="U79" s="24"/>
      <c r="V79" s="24"/>
      <c r="W79" s="24"/>
      <c r="X79" s="24"/>
    </row>
    <row r="80">
      <c r="A80" s="24"/>
      <c r="B80" s="24"/>
      <c r="C80" s="24"/>
      <c r="D80" s="24"/>
      <c r="E80" s="24"/>
      <c r="F80" s="24"/>
      <c r="G80" s="24"/>
      <c r="H80" s="24"/>
      <c r="I80" s="24"/>
      <c r="J80" s="24"/>
      <c r="K80" s="24"/>
      <c r="L80" s="24"/>
      <c r="M80" s="24"/>
      <c r="N80" s="24"/>
      <c r="O80" s="24"/>
      <c r="P80" s="24"/>
      <c r="Q80" s="24"/>
      <c r="R80" s="24"/>
      <c r="S80" s="24"/>
      <c r="T80" s="24"/>
      <c r="U80" s="24"/>
      <c r="V80" s="24"/>
      <c r="W80" s="24"/>
      <c r="X80" s="24"/>
    </row>
    <row r="81">
      <c r="A81" s="24"/>
      <c r="B81" s="24"/>
      <c r="C81" s="24"/>
      <c r="D81" s="24"/>
      <c r="E81" s="24"/>
      <c r="F81" s="24"/>
      <c r="G81" s="24"/>
      <c r="H81" s="24"/>
      <c r="I81" s="24"/>
      <c r="J81" s="24"/>
      <c r="K81" s="24"/>
      <c r="L81" s="24"/>
      <c r="M81" s="24"/>
      <c r="N81" s="24"/>
      <c r="O81" s="24"/>
      <c r="P81" s="24"/>
      <c r="Q81" s="24"/>
      <c r="R81" s="24"/>
      <c r="S81" s="24"/>
      <c r="T81" s="24"/>
      <c r="U81" s="24"/>
      <c r="V81" s="24"/>
      <c r="W81" s="24"/>
      <c r="X81" s="24"/>
    </row>
    <row r="82">
      <c r="A82" s="24"/>
      <c r="B82" s="24"/>
      <c r="C82" s="24"/>
      <c r="D82" s="24"/>
      <c r="E82" s="24"/>
      <c r="F82" s="24"/>
      <c r="G82" s="24"/>
      <c r="H82" s="24"/>
      <c r="I82" s="24"/>
      <c r="J82" s="24"/>
      <c r="K82" s="24"/>
      <c r="L82" s="24"/>
      <c r="M82" s="24"/>
      <c r="N82" s="24"/>
      <c r="O82" s="24"/>
      <c r="P82" s="24"/>
      <c r="Q82" s="24"/>
      <c r="R82" s="24"/>
      <c r="S82" s="24"/>
      <c r="T82" s="24"/>
      <c r="U82" s="24"/>
      <c r="V82" s="24"/>
      <c r="W82" s="24"/>
      <c r="X82" s="24"/>
    </row>
    <row r="83">
      <c r="A83" s="24"/>
      <c r="B83" s="24"/>
      <c r="C83" s="24"/>
      <c r="D83" s="24"/>
      <c r="E83" s="24"/>
      <c r="F83" s="24"/>
      <c r="G83" s="24"/>
      <c r="H83" s="24"/>
      <c r="I83" s="24"/>
      <c r="J83" s="24"/>
      <c r="K83" s="24"/>
      <c r="L83" s="24"/>
      <c r="M83" s="24"/>
      <c r="N83" s="24"/>
      <c r="O83" s="24"/>
      <c r="P83" s="24"/>
      <c r="Q83" s="24"/>
      <c r="R83" s="24"/>
      <c r="S83" s="24"/>
      <c r="T83" s="24"/>
      <c r="U83" s="24"/>
      <c r="V83" s="24"/>
      <c r="W83" s="24"/>
      <c r="X83" s="24"/>
    </row>
    <row r="84">
      <c r="A84" s="24"/>
      <c r="B84" s="24"/>
      <c r="C84" s="24"/>
      <c r="D84" s="24"/>
      <c r="E84" s="24"/>
      <c r="F84" s="24"/>
      <c r="G84" s="24"/>
      <c r="H84" s="24"/>
      <c r="I84" s="24"/>
      <c r="J84" s="24"/>
      <c r="K84" s="24"/>
      <c r="L84" s="24"/>
      <c r="M84" s="24"/>
      <c r="N84" s="24"/>
      <c r="O84" s="24"/>
      <c r="P84" s="24"/>
      <c r="Q84" s="24"/>
      <c r="R84" s="24"/>
      <c r="S84" s="24"/>
      <c r="T84" s="24"/>
      <c r="U84" s="24"/>
      <c r="V84" s="24"/>
      <c r="W84" s="24"/>
      <c r="X84" s="24"/>
    </row>
    <row r="85">
      <c r="A85" s="24"/>
      <c r="B85" s="24"/>
      <c r="C85" s="24"/>
      <c r="D85" s="24"/>
      <c r="E85" s="24"/>
      <c r="F85" s="24"/>
      <c r="G85" s="24"/>
      <c r="H85" s="24"/>
      <c r="I85" s="24"/>
      <c r="J85" s="24"/>
      <c r="K85" s="24"/>
      <c r="L85" s="24"/>
      <c r="M85" s="24"/>
      <c r="N85" s="24"/>
      <c r="O85" s="24"/>
      <c r="P85" s="24"/>
      <c r="Q85" s="24"/>
      <c r="R85" s="24"/>
      <c r="S85" s="24"/>
      <c r="T85" s="24"/>
      <c r="U85" s="24"/>
      <c r="V85" s="24"/>
      <c r="W85" s="24"/>
      <c r="X85" s="24"/>
    </row>
    <row r="86">
      <c r="A86" s="24"/>
      <c r="B86" s="24"/>
      <c r="C86" s="24"/>
      <c r="D86" s="24"/>
      <c r="E86" s="24"/>
      <c r="F86" s="24"/>
      <c r="G86" s="24"/>
      <c r="H86" s="24"/>
      <c r="I86" s="24"/>
      <c r="J86" s="24"/>
      <c r="K86" s="24"/>
      <c r="L86" s="24"/>
      <c r="M86" s="24"/>
      <c r="N86" s="24"/>
      <c r="O86" s="24"/>
      <c r="P86" s="24"/>
      <c r="Q86" s="24"/>
      <c r="R86" s="24"/>
      <c r="S86" s="24"/>
      <c r="T86" s="24"/>
      <c r="U86" s="24"/>
      <c r="V86" s="24"/>
      <c r="W86" s="24"/>
      <c r="X86" s="24"/>
    </row>
    <row r="87">
      <c r="A87" s="24"/>
      <c r="B87" s="24"/>
      <c r="C87" s="24"/>
      <c r="D87" s="24"/>
      <c r="E87" s="24"/>
      <c r="F87" s="24"/>
      <c r="G87" s="24"/>
      <c r="H87" s="24"/>
      <c r="I87" s="24"/>
      <c r="J87" s="24"/>
      <c r="K87" s="24"/>
      <c r="L87" s="24"/>
      <c r="M87" s="24"/>
      <c r="N87" s="24"/>
      <c r="O87" s="24"/>
      <c r="P87" s="24"/>
      <c r="Q87" s="24"/>
      <c r="R87" s="24"/>
      <c r="S87" s="24"/>
      <c r="T87" s="24"/>
      <c r="U87" s="24"/>
      <c r="V87" s="24"/>
      <c r="W87" s="24"/>
      <c r="X87" s="24"/>
    </row>
    <row r="88">
      <c r="A88" s="24"/>
      <c r="B88" s="24"/>
      <c r="C88" s="24"/>
      <c r="D88" s="24"/>
      <c r="E88" s="24"/>
      <c r="F88" s="24"/>
      <c r="G88" s="24"/>
      <c r="H88" s="24"/>
      <c r="I88" s="24"/>
      <c r="J88" s="24"/>
      <c r="K88" s="24"/>
      <c r="L88" s="24"/>
      <c r="M88" s="24"/>
      <c r="N88" s="24"/>
      <c r="O88" s="24"/>
      <c r="P88" s="24"/>
      <c r="Q88" s="24"/>
      <c r="R88" s="24"/>
      <c r="S88" s="24"/>
      <c r="T88" s="24"/>
      <c r="U88" s="24"/>
      <c r="V88" s="24"/>
      <c r="W88" s="24"/>
      <c r="X88" s="24"/>
    </row>
    <row r="89">
      <c r="A89" s="24"/>
      <c r="B89" s="24"/>
      <c r="C89" s="24"/>
      <c r="D89" s="24"/>
      <c r="E89" s="24"/>
      <c r="F89" s="24"/>
      <c r="G89" s="24"/>
      <c r="H89" s="24"/>
      <c r="I89" s="24"/>
      <c r="J89" s="24"/>
      <c r="K89" s="24"/>
      <c r="L89" s="24"/>
      <c r="M89" s="24"/>
      <c r="N89" s="24"/>
      <c r="O89" s="24"/>
      <c r="P89" s="24"/>
      <c r="Q89" s="24"/>
      <c r="R89" s="24"/>
      <c r="S89" s="24"/>
      <c r="T89" s="24"/>
      <c r="U89" s="24"/>
      <c r="V89" s="24"/>
      <c r="W89" s="24"/>
      <c r="X89" s="24"/>
    </row>
    <row r="90">
      <c r="A90" s="24"/>
      <c r="B90" s="24"/>
      <c r="C90" s="24"/>
      <c r="D90" s="24"/>
      <c r="E90" s="24"/>
      <c r="F90" s="24"/>
      <c r="G90" s="24"/>
      <c r="H90" s="24"/>
      <c r="I90" s="24"/>
      <c r="J90" s="24"/>
      <c r="K90" s="24"/>
      <c r="L90" s="24"/>
      <c r="M90" s="24"/>
      <c r="N90" s="24"/>
      <c r="O90" s="24"/>
      <c r="P90" s="24"/>
      <c r="Q90" s="24"/>
      <c r="R90" s="24"/>
      <c r="S90" s="24"/>
      <c r="T90" s="24"/>
      <c r="U90" s="24"/>
      <c r="V90" s="24"/>
      <c r="W90" s="24"/>
      <c r="X90" s="24"/>
    </row>
    <row r="91">
      <c r="A91" s="24"/>
      <c r="B91" s="24"/>
      <c r="C91" s="24"/>
      <c r="D91" s="24"/>
      <c r="E91" s="24"/>
      <c r="F91" s="24"/>
      <c r="G91" s="24"/>
      <c r="H91" s="24"/>
      <c r="I91" s="24"/>
      <c r="J91" s="24"/>
      <c r="K91" s="24"/>
      <c r="L91" s="24"/>
      <c r="M91" s="24"/>
      <c r="N91" s="24"/>
      <c r="O91" s="24"/>
      <c r="P91" s="24"/>
      <c r="Q91" s="24"/>
      <c r="R91" s="24"/>
      <c r="S91" s="24"/>
      <c r="T91" s="24"/>
      <c r="U91" s="24"/>
      <c r="V91" s="24"/>
      <c r="W91" s="24"/>
      <c r="X91" s="24"/>
    </row>
    <row r="92">
      <c r="A92" s="24"/>
      <c r="B92" s="24"/>
      <c r="C92" s="24"/>
      <c r="D92" s="24"/>
      <c r="E92" s="24"/>
      <c r="F92" s="24"/>
      <c r="G92" s="24"/>
      <c r="H92" s="24"/>
      <c r="I92" s="24"/>
      <c r="J92" s="24"/>
      <c r="K92" s="24"/>
      <c r="L92" s="24"/>
      <c r="M92" s="24"/>
      <c r="N92" s="24"/>
      <c r="O92" s="24"/>
      <c r="P92" s="24"/>
      <c r="Q92" s="24"/>
      <c r="R92" s="24"/>
      <c r="S92" s="24"/>
      <c r="T92" s="24"/>
      <c r="U92" s="24"/>
      <c r="V92" s="24"/>
      <c r="W92" s="24"/>
      <c r="X92" s="24"/>
    </row>
    <row r="93">
      <c r="A93" s="24"/>
      <c r="B93" s="24"/>
      <c r="C93" s="24"/>
      <c r="D93" s="24"/>
      <c r="E93" s="24"/>
      <c r="F93" s="24"/>
      <c r="G93" s="24"/>
      <c r="H93" s="24"/>
      <c r="I93" s="24"/>
      <c r="J93" s="24"/>
      <c r="K93" s="24"/>
      <c r="L93" s="24"/>
      <c r="M93" s="24"/>
      <c r="N93" s="24"/>
      <c r="O93" s="24"/>
      <c r="P93" s="24"/>
      <c r="Q93" s="24"/>
      <c r="R93" s="24"/>
      <c r="S93" s="24"/>
      <c r="T93" s="24"/>
      <c r="U93" s="24"/>
      <c r="V93" s="24"/>
      <c r="W93" s="24"/>
      <c r="X93" s="24"/>
    </row>
    <row r="94">
      <c r="A94" s="24"/>
      <c r="B94" s="24"/>
      <c r="C94" s="24"/>
      <c r="D94" s="24"/>
      <c r="E94" s="24"/>
      <c r="F94" s="24"/>
      <c r="G94" s="24"/>
      <c r="H94" s="24"/>
      <c r="I94" s="24"/>
      <c r="J94" s="24"/>
      <c r="K94" s="24"/>
      <c r="L94" s="24"/>
      <c r="M94" s="24"/>
      <c r="N94" s="24"/>
      <c r="O94" s="24"/>
      <c r="P94" s="24"/>
      <c r="Q94" s="24"/>
      <c r="R94" s="24"/>
      <c r="S94" s="24"/>
      <c r="T94" s="24"/>
      <c r="U94" s="24"/>
      <c r="V94" s="24"/>
      <c r="W94" s="24"/>
      <c r="X94" s="24"/>
    </row>
    <row r="95">
      <c r="A95" s="24"/>
      <c r="B95" s="24"/>
      <c r="C95" s="24"/>
      <c r="D95" s="24"/>
      <c r="E95" s="24"/>
      <c r="F95" s="24"/>
      <c r="G95" s="24"/>
      <c r="H95" s="24"/>
      <c r="I95" s="24"/>
      <c r="J95" s="24"/>
      <c r="K95" s="24"/>
      <c r="L95" s="24"/>
      <c r="M95" s="24"/>
      <c r="N95" s="24"/>
      <c r="O95" s="24"/>
      <c r="P95" s="24"/>
      <c r="Q95" s="24"/>
      <c r="R95" s="24"/>
      <c r="S95" s="24"/>
      <c r="T95" s="24"/>
      <c r="U95" s="24"/>
      <c r="V95" s="24"/>
      <c r="W95" s="24"/>
      <c r="X95" s="24"/>
    </row>
    <row r="96">
      <c r="A96" s="24"/>
      <c r="B96" s="24"/>
      <c r="C96" s="24"/>
      <c r="D96" s="24"/>
      <c r="E96" s="24"/>
      <c r="F96" s="24"/>
      <c r="G96" s="24"/>
      <c r="H96" s="24"/>
      <c r="I96" s="24"/>
      <c r="J96" s="24"/>
      <c r="K96" s="24"/>
      <c r="L96" s="24"/>
      <c r="M96" s="24"/>
      <c r="N96" s="24"/>
      <c r="O96" s="24"/>
      <c r="P96" s="24"/>
      <c r="Q96" s="24"/>
      <c r="R96" s="24"/>
      <c r="S96" s="24"/>
      <c r="T96" s="24"/>
      <c r="U96" s="24"/>
      <c r="V96" s="24"/>
      <c r="W96" s="24"/>
      <c r="X96" s="24"/>
    </row>
    <row r="97">
      <c r="A97" s="24"/>
      <c r="B97" s="24"/>
      <c r="C97" s="24"/>
      <c r="D97" s="24"/>
      <c r="E97" s="24"/>
      <c r="F97" s="24"/>
      <c r="G97" s="24"/>
      <c r="H97" s="24"/>
      <c r="I97" s="24"/>
      <c r="J97" s="24"/>
      <c r="K97" s="24"/>
      <c r="L97" s="24"/>
      <c r="M97" s="24"/>
      <c r="N97" s="24"/>
      <c r="O97" s="24"/>
      <c r="P97" s="24"/>
      <c r="Q97" s="24"/>
      <c r="R97" s="24"/>
      <c r="S97" s="24"/>
      <c r="T97" s="24"/>
      <c r="U97" s="24"/>
      <c r="V97" s="24"/>
      <c r="W97" s="24"/>
      <c r="X97" s="24"/>
    </row>
    <row r="98">
      <c r="A98" s="24"/>
      <c r="B98" s="24"/>
      <c r="C98" s="24"/>
      <c r="D98" s="24"/>
      <c r="E98" s="24"/>
      <c r="F98" s="24"/>
      <c r="G98" s="24"/>
      <c r="H98" s="24"/>
      <c r="I98" s="24"/>
      <c r="J98" s="24"/>
      <c r="K98" s="24"/>
      <c r="L98" s="24"/>
      <c r="M98" s="24"/>
      <c r="N98" s="24"/>
      <c r="O98" s="24"/>
      <c r="P98" s="24"/>
      <c r="Q98" s="24"/>
      <c r="R98" s="24"/>
      <c r="S98" s="24"/>
      <c r="T98" s="24"/>
      <c r="U98" s="24"/>
      <c r="V98" s="24"/>
      <c r="W98" s="24"/>
      <c r="X98" s="24"/>
    </row>
    <row r="99">
      <c r="A99" s="24"/>
      <c r="B99" s="24"/>
      <c r="C99" s="24"/>
      <c r="D99" s="24"/>
      <c r="E99" s="24"/>
      <c r="F99" s="24"/>
      <c r="G99" s="24"/>
      <c r="H99" s="24"/>
      <c r="I99" s="24"/>
      <c r="J99" s="24"/>
      <c r="K99" s="24"/>
      <c r="L99" s="24"/>
      <c r="M99" s="24"/>
      <c r="N99" s="24"/>
      <c r="O99" s="24"/>
      <c r="P99" s="24"/>
      <c r="Q99" s="24"/>
      <c r="R99" s="24"/>
      <c r="S99" s="24"/>
      <c r="T99" s="24"/>
      <c r="U99" s="24"/>
      <c r="V99" s="24"/>
      <c r="W99" s="24"/>
      <c r="X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row>
  </sheetData>
  <mergeCells count="18">
    <mergeCell ref="B1:D2"/>
    <mergeCell ref="B3:D3"/>
    <mergeCell ref="B4:D4"/>
    <mergeCell ref="B5:D5"/>
    <mergeCell ref="A9:A10"/>
    <mergeCell ref="B9:B10"/>
    <mergeCell ref="C9:C10"/>
    <mergeCell ref="D13:F13"/>
    <mergeCell ref="D14:F14"/>
    <mergeCell ref="D15:F15"/>
    <mergeCell ref="D16:F16"/>
    <mergeCell ref="D9:F10"/>
    <mergeCell ref="G9:G10"/>
    <mergeCell ref="H9:H10"/>
    <mergeCell ref="I9:I10"/>
    <mergeCell ref="J9:J10"/>
    <mergeCell ref="B11:J11"/>
    <mergeCell ref="A12:J12"/>
  </mergeCells>
  <hyperlinks>
    <hyperlink r:id="rId1" ref="G13"/>
    <hyperlink r:id="rId2" ref="G14"/>
    <hyperlink r:id="rId3" ref="G15"/>
    <hyperlink r:id="rId4" ref="G16"/>
  </hyperlinks>
  <drawing r:id="rId5"/>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75"/>
    <col customWidth="1" min="2" max="2" width="22.13"/>
    <col customWidth="1" min="3" max="3" width="43.5"/>
    <col customWidth="1" min="6" max="6" width="19.0"/>
    <col customWidth="1" min="7" max="7" width="22.63"/>
    <col customWidth="1" min="8" max="8" width="20.13"/>
    <col customWidth="1" min="9" max="9" width="15.5"/>
    <col customWidth="1" min="10" max="10" width="21.38"/>
  </cols>
  <sheetData>
    <row r="1">
      <c r="A1" s="11" t="s">
        <v>3</v>
      </c>
      <c r="B1" s="18"/>
      <c r="E1" s="18"/>
      <c r="F1" s="18"/>
      <c r="G1" s="18"/>
      <c r="H1" s="18"/>
      <c r="I1" s="18"/>
      <c r="J1" s="18"/>
      <c r="K1" s="24"/>
      <c r="L1" s="24"/>
      <c r="M1" s="24"/>
      <c r="N1" s="24"/>
      <c r="O1" s="24"/>
      <c r="P1" s="24"/>
      <c r="Q1" s="24"/>
      <c r="R1" s="24"/>
      <c r="S1" s="24"/>
      <c r="T1" s="24"/>
      <c r="U1" s="24"/>
      <c r="V1" s="24"/>
      <c r="W1" s="24"/>
      <c r="X1" s="24"/>
    </row>
    <row r="2">
      <c r="A2" s="18"/>
      <c r="B2" s="44"/>
      <c r="C2" s="44"/>
      <c r="D2" s="44"/>
      <c r="E2" s="18"/>
      <c r="F2" s="18"/>
      <c r="G2" s="18"/>
      <c r="H2" s="18"/>
      <c r="I2" s="18"/>
      <c r="J2" s="18"/>
      <c r="K2" s="24"/>
      <c r="L2" s="24"/>
      <c r="M2" s="24"/>
      <c r="N2" s="24"/>
      <c r="O2" s="24"/>
      <c r="P2" s="24"/>
      <c r="Q2" s="24"/>
      <c r="R2" s="24"/>
      <c r="S2" s="24"/>
      <c r="T2" s="24"/>
      <c r="U2" s="24"/>
      <c r="V2" s="24"/>
      <c r="W2" s="24"/>
      <c r="X2" s="24"/>
    </row>
    <row r="3">
      <c r="A3" s="56" t="s">
        <v>60</v>
      </c>
      <c r="B3" s="58" t="s">
        <v>63</v>
      </c>
      <c r="C3" s="59"/>
      <c r="D3" s="60"/>
      <c r="E3" s="18"/>
      <c r="F3" s="18"/>
      <c r="G3" s="18"/>
      <c r="H3" s="18"/>
      <c r="I3" s="24"/>
      <c r="J3" s="24"/>
      <c r="K3" s="24"/>
      <c r="L3" s="24"/>
      <c r="M3" s="24"/>
      <c r="N3" s="24"/>
      <c r="O3" s="24"/>
      <c r="P3" s="24"/>
      <c r="Q3" s="24"/>
      <c r="R3" s="24"/>
      <c r="S3" s="24"/>
      <c r="T3" s="24"/>
      <c r="U3" s="24"/>
      <c r="V3" s="24"/>
      <c r="W3" s="24"/>
      <c r="X3" s="24"/>
    </row>
    <row r="4">
      <c r="A4" s="56" t="s">
        <v>69</v>
      </c>
      <c r="B4" s="61" t="s">
        <v>839</v>
      </c>
      <c r="C4" s="59"/>
      <c r="D4" s="60"/>
      <c r="E4" s="18"/>
      <c r="F4" s="18"/>
      <c r="G4" s="18"/>
      <c r="H4" s="18"/>
      <c r="I4" s="24"/>
      <c r="J4" s="24"/>
      <c r="K4" s="24"/>
      <c r="L4" s="24"/>
      <c r="M4" s="24"/>
      <c r="N4" s="24"/>
      <c r="O4" s="24"/>
      <c r="P4" s="24"/>
      <c r="Q4" s="24"/>
      <c r="R4" s="24"/>
      <c r="S4" s="24"/>
      <c r="T4" s="24"/>
      <c r="U4" s="24"/>
      <c r="V4" s="24"/>
      <c r="W4" s="24"/>
      <c r="X4" s="24"/>
    </row>
    <row r="5">
      <c r="A5" s="56" t="s">
        <v>83</v>
      </c>
      <c r="B5" s="58" t="s">
        <v>840</v>
      </c>
      <c r="C5" s="59"/>
      <c r="D5" s="60"/>
      <c r="E5" s="18"/>
      <c r="F5" s="18"/>
      <c r="G5" s="18"/>
      <c r="H5" s="18"/>
      <c r="I5" s="24"/>
      <c r="J5" s="24"/>
      <c r="K5" s="24"/>
      <c r="L5" s="24"/>
      <c r="M5" s="24"/>
      <c r="N5" s="24"/>
      <c r="O5" s="24"/>
      <c r="P5" s="24"/>
      <c r="Q5" s="24"/>
      <c r="R5" s="24"/>
      <c r="S5" s="24"/>
      <c r="T5" s="24"/>
      <c r="U5" s="24"/>
      <c r="V5" s="24"/>
      <c r="W5" s="24"/>
      <c r="X5" s="24"/>
    </row>
    <row r="6">
      <c r="A6" s="69" t="s">
        <v>23</v>
      </c>
      <c r="B6" s="70">
        <v>5.0</v>
      </c>
      <c r="C6" s="72" t="s">
        <v>25</v>
      </c>
      <c r="D6" s="73">
        <v>0.0</v>
      </c>
      <c r="E6" s="18"/>
      <c r="F6" s="18"/>
      <c r="G6" s="18"/>
      <c r="H6" s="18"/>
      <c r="I6" s="24"/>
      <c r="J6" s="24"/>
      <c r="K6" s="24"/>
      <c r="L6" s="24"/>
      <c r="M6" s="24"/>
      <c r="N6" s="24"/>
      <c r="O6" s="24"/>
      <c r="P6" s="24"/>
      <c r="Q6" s="24"/>
      <c r="R6" s="24"/>
      <c r="S6" s="24"/>
      <c r="T6" s="24"/>
      <c r="U6" s="24"/>
      <c r="V6" s="24"/>
      <c r="W6" s="24"/>
      <c r="X6" s="24"/>
    </row>
    <row r="7">
      <c r="A7" s="69" t="s">
        <v>24</v>
      </c>
      <c r="B7" s="70">
        <v>0.0</v>
      </c>
      <c r="C7" s="75" t="s">
        <v>99</v>
      </c>
      <c r="D7" s="73">
        <v>5.0</v>
      </c>
      <c r="E7" s="18"/>
      <c r="F7" s="18"/>
      <c r="G7" s="18"/>
      <c r="H7" s="18"/>
      <c r="I7" s="24"/>
      <c r="J7" s="24"/>
      <c r="K7" s="24"/>
      <c r="L7" s="24"/>
      <c r="M7" s="24"/>
      <c r="N7" s="24"/>
      <c r="O7" s="24"/>
      <c r="P7" s="24"/>
      <c r="Q7" s="24"/>
      <c r="R7" s="24"/>
      <c r="S7" s="24"/>
      <c r="T7" s="24"/>
      <c r="U7" s="24"/>
      <c r="V7" s="24"/>
      <c r="W7" s="24"/>
      <c r="X7" s="24"/>
    </row>
    <row r="8">
      <c r="A8" s="76"/>
      <c r="B8" s="77"/>
      <c r="C8" s="77"/>
      <c r="D8" s="77"/>
      <c r="E8" s="18"/>
      <c r="F8" s="18"/>
      <c r="G8" s="18"/>
      <c r="H8" s="18"/>
      <c r="I8" s="78"/>
      <c r="J8" s="78"/>
      <c r="K8" s="24"/>
      <c r="L8" s="24"/>
      <c r="M8" s="24"/>
      <c r="N8" s="24"/>
      <c r="O8" s="24"/>
      <c r="P8" s="24"/>
      <c r="Q8" s="24"/>
      <c r="R8" s="24"/>
      <c r="S8" s="24"/>
      <c r="T8" s="24"/>
      <c r="U8" s="24"/>
      <c r="V8" s="24"/>
      <c r="W8" s="24"/>
      <c r="X8" s="24"/>
    </row>
    <row r="9">
      <c r="A9" s="79" t="s">
        <v>101</v>
      </c>
      <c r="B9" s="80" t="s">
        <v>102</v>
      </c>
      <c r="C9" s="79" t="s">
        <v>103</v>
      </c>
      <c r="D9" s="81" t="s">
        <v>104</v>
      </c>
      <c r="G9" s="79" t="s">
        <v>106</v>
      </c>
      <c r="H9" s="82" t="s">
        <v>107</v>
      </c>
      <c r="I9" s="82" t="s">
        <v>109</v>
      </c>
      <c r="J9" s="82" t="s">
        <v>110</v>
      </c>
      <c r="K9" s="24"/>
      <c r="L9" s="24"/>
      <c r="M9" s="24"/>
      <c r="N9" s="24"/>
      <c r="O9" s="24"/>
      <c r="P9" s="24"/>
      <c r="Q9" s="24"/>
      <c r="R9" s="24"/>
      <c r="S9" s="24"/>
      <c r="T9" s="24"/>
      <c r="U9" s="24"/>
      <c r="V9" s="24"/>
      <c r="W9" s="24"/>
      <c r="X9" s="24"/>
    </row>
    <row r="10">
      <c r="A10" s="84"/>
      <c r="B10" s="84"/>
      <c r="C10" s="84"/>
      <c r="D10" s="85"/>
      <c r="E10" s="44"/>
      <c r="F10" s="44"/>
      <c r="G10" s="84"/>
      <c r="H10" s="84"/>
      <c r="I10" s="84"/>
      <c r="J10" s="84"/>
      <c r="K10" s="24"/>
      <c r="L10" s="24"/>
      <c r="M10" s="24"/>
      <c r="N10" s="24"/>
      <c r="O10" s="24"/>
      <c r="P10" s="24"/>
      <c r="Q10" s="24"/>
      <c r="R10" s="24"/>
      <c r="S10" s="24"/>
      <c r="T10" s="24"/>
      <c r="U10" s="24"/>
      <c r="V10" s="24"/>
      <c r="W10" s="24"/>
      <c r="X10" s="24"/>
    </row>
    <row r="11">
      <c r="A11" s="86"/>
      <c r="B11" s="138"/>
      <c r="C11" s="59"/>
      <c r="D11" s="59"/>
      <c r="E11" s="59"/>
      <c r="F11" s="59"/>
      <c r="G11" s="59"/>
      <c r="H11" s="59"/>
      <c r="I11" s="59"/>
      <c r="J11" s="60"/>
      <c r="K11" s="24"/>
      <c r="L11" s="24"/>
      <c r="M11" s="24"/>
      <c r="N11" s="24"/>
      <c r="O11" s="24"/>
      <c r="P11" s="24"/>
      <c r="Q11" s="24"/>
      <c r="R11" s="24"/>
      <c r="S11" s="24"/>
      <c r="T11" s="24"/>
      <c r="U11" s="24"/>
      <c r="V11" s="24"/>
      <c r="W11" s="24"/>
      <c r="X11" s="24"/>
    </row>
    <row r="12" ht="97.5" customHeight="1">
      <c r="A12" s="88" t="s">
        <v>841</v>
      </c>
      <c r="B12" s="90" t="s">
        <v>842</v>
      </c>
      <c r="C12" s="91" t="s">
        <v>843</v>
      </c>
      <c r="D12" s="93" t="s">
        <v>844</v>
      </c>
      <c r="E12" s="59"/>
      <c r="F12" s="59"/>
      <c r="G12" s="102" t="s">
        <v>845</v>
      </c>
      <c r="H12" s="103">
        <v>46252.0</v>
      </c>
      <c r="I12" s="88" t="s">
        <v>23</v>
      </c>
      <c r="J12" s="91" t="s">
        <v>846</v>
      </c>
      <c r="K12" s="24"/>
      <c r="L12" s="24"/>
      <c r="M12" s="24"/>
      <c r="N12" s="24"/>
      <c r="O12" s="24"/>
      <c r="P12" s="24"/>
      <c r="Q12" s="24"/>
      <c r="R12" s="24"/>
      <c r="S12" s="24"/>
      <c r="T12" s="24"/>
      <c r="U12" s="24"/>
      <c r="V12" s="24"/>
      <c r="W12" s="24"/>
      <c r="X12" s="24"/>
    </row>
    <row r="13" ht="104.25" customHeight="1">
      <c r="A13" s="88" t="s">
        <v>847</v>
      </c>
      <c r="B13" s="90" t="s">
        <v>848</v>
      </c>
      <c r="C13" s="91" t="s">
        <v>849</v>
      </c>
      <c r="D13" s="93" t="s">
        <v>850</v>
      </c>
      <c r="E13" s="59"/>
      <c r="F13" s="59"/>
      <c r="G13" s="102" t="s">
        <v>851</v>
      </c>
      <c r="H13" s="103">
        <v>46252.0</v>
      </c>
      <c r="I13" s="88" t="s">
        <v>23</v>
      </c>
      <c r="J13" s="91" t="s">
        <v>852</v>
      </c>
      <c r="K13" s="24"/>
      <c r="L13" s="24"/>
      <c r="M13" s="24"/>
      <c r="N13" s="24"/>
      <c r="O13" s="24"/>
      <c r="P13" s="24"/>
      <c r="Q13" s="24"/>
      <c r="R13" s="24"/>
      <c r="S13" s="24"/>
      <c r="T13" s="24"/>
      <c r="U13" s="24"/>
      <c r="V13" s="24"/>
      <c r="W13" s="24"/>
      <c r="X13" s="24"/>
    </row>
    <row r="14" ht="144.0" customHeight="1">
      <c r="A14" s="88" t="s">
        <v>853</v>
      </c>
      <c r="B14" s="90" t="s">
        <v>854</v>
      </c>
      <c r="C14" s="91" t="s">
        <v>855</v>
      </c>
      <c r="D14" s="93" t="s">
        <v>856</v>
      </c>
      <c r="E14" s="59"/>
      <c r="F14" s="59"/>
      <c r="G14" s="102" t="s">
        <v>857</v>
      </c>
      <c r="H14" s="103">
        <v>46252.0</v>
      </c>
      <c r="I14" s="88" t="s">
        <v>23</v>
      </c>
      <c r="J14" s="91" t="s">
        <v>858</v>
      </c>
      <c r="K14" s="24"/>
      <c r="L14" s="24"/>
      <c r="M14" s="24"/>
      <c r="N14" s="24"/>
      <c r="O14" s="24"/>
      <c r="P14" s="24"/>
      <c r="Q14" s="24"/>
      <c r="R14" s="24"/>
      <c r="S14" s="24"/>
      <c r="T14" s="24"/>
      <c r="U14" s="24"/>
      <c r="V14" s="24"/>
      <c r="W14" s="24"/>
      <c r="X14" s="24"/>
    </row>
    <row r="15" ht="141.75" customHeight="1">
      <c r="A15" s="88" t="s">
        <v>859</v>
      </c>
      <c r="B15" s="90" t="s">
        <v>860</v>
      </c>
      <c r="C15" s="91" t="s">
        <v>861</v>
      </c>
      <c r="D15" s="93" t="s">
        <v>862</v>
      </c>
      <c r="E15" s="59"/>
      <c r="F15" s="59"/>
      <c r="G15" s="102" t="s">
        <v>863</v>
      </c>
      <c r="H15" s="103">
        <v>46252.0</v>
      </c>
      <c r="I15" s="88" t="s">
        <v>23</v>
      </c>
      <c r="J15" s="91" t="s">
        <v>864</v>
      </c>
      <c r="K15" s="24"/>
      <c r="L15" s="24"/>
      <c r="M15" s="24"/>
      <c r="N15" s="24"/>
      <c r="O15" s="24"/>
      <c r="P15" s="24"/>
      <c r="Q15" s="24"/>
      <c r="R15" s="24"/>
      <c r="S15" s="24"/>
      <c r="T15" s="24"/>
      <c r="U15" s="24"/>
      <c r="V15" s="24"/>
      <c r="W15" s="24"/>
      <c r="X15" s="24"/>
    </row>
    <row r="16" ht="157.5" customHeight="1">
      <c r="A16" s="88" t="s">
        <v>865</v>
      </c>
      <c r="B16" s="90" t="s">
        <v>866</v>
      </c>
      <c r="C16" s="91" t="s">
        <v>867</v>
      </c>
      <c r="D16" s="93" t="s">
        <v>868</v>
      </c>
      <c r="E16" s="59"/>
      <c r="F16" s="59"/>
      <c r="G16" s="102" t="s">
        <v>869</v>
      </c>
      <c r="H16" s="103">
        <v>46252.0</v>
      </c>
      <c r="I16" s="88" t="s">
        <v>23</v>
      </c>
      <c r="J16" s="91" t="s">
        <v>870</v>
      </c>
      <c r="K16" s="24"/>
      <c r="L16" s="24"/>
      <c r="M16" s="24"/>
      <c r="N16" s="24"/>
      <c r="O16" s="24"/>
      <c r="P16" s="24"/>
      <c r="Q16" s="24"/>
      <c r="R16" s="24"/>
      <c r="S16" s="24"/>
      <c r="T16" s="24"/>
      <c r="U16" s="24"/>
      <c r="V16" s="24"/>
      <c r="W16" s="24"/>
      <c r="X16" s="24"/>
    </row>
    <row r="17">
      <c r="A17" s="24"/>
      <c r="B17" s="24"/>
      <c r="C17" s="24"/>
      <c r="D17" s="24"/>
      <c r="E17" s="24"/>
      <c r="F17" s="24"/>
      <c r="G17" s="24"/>
      <c r="H17" s="24"/>
      <c r="I17" s="24"/>
      <c r="J17" s="24"/>
      <c r="K17" s="24"/>
      <c r="L17" s="24"/>
      <c r="M17" s="24"/>
      <c r="N17" s="24"/>
      <c r="O17" s="24"/>
      <c r="P17" s="24"/>
      <c r="Q17" s="24"/>
      <c r="R17" s="24"/>
      <c r="S17" s="24"/>
      <c r="T17" s="24"/>
      <c r="U17" s="24"/>
      <c r="V17" s="24"/>
      <c r="W17" s="24"/>
      <c r="X17" s="24"/>
    </row>
    <row r="18">
      <c r="A18" s="24"/>
      <c r="B18" s="24"/>
      <c r="C18" s="24"/>
      <c r="D18" s="24"/>
      <c r="E18" s="24"/>
      <c r="F18" s="24"/>
      <c r="G18" s="24"/>
      <c r="H18" s="24"/>
      <c r="I18" s="24"/>
      <c r="J18" s="24"/>
      <c r="K18" s="24"/>
      <c r="L18" s="24"/>
      <c r="M18" s="24"/>
      <c r="N18" s="24"/>
      <c r="O18" s="24"/>
      <c r="P18" s="24"/>
      <c r="Q18" s="24"/>
      <c r="R18" s="24"/>
      <c r="S18" s="24"/>
      <c r="T18" s="24"/>
      <c r="U18" s="24"/>
      <c r="V18" s="24"/>
      <c r="W18" s="24"/>
      <c r="X18" s="24"/>
    </row>
    <row r="19">
      <c r="A19" s="24"/>
      <c r="B19" s="24"/>
      <c r="C19" s="24"/>
      <c r="D19" s="24"/>
      <c r="E19" s="24"/>
      <c r="F19" s="24"/>
      <c r="G19" s="24"/>
      <c r="H19" s="24"/>
      <c r="I19" s="24"/>
      <c r="J19" s="24"/>
      <c r="K19" s="24"/>
      <c r="L19" s="24"/>
      <c r="M19" s="24"/>
      <c r="N19" s="24"/>
      <c r="O19" s="24"/>
      <c r="P19" s="24"/>
      <c r="Q19" s="24"/>
      <c r="R19" s="24"/>
      <c r="S19" s="24"/>
      <c r="T19" s="24"/>
      <c r="U19" s="24"/>
      <c r="V19" s="24"/>
      <c r="W19" s="24"/>
      <c r="X19" s="24"/>
    </row>
    <row r="20">
      <c r="A20" s="24"/>
      <c r="B20" s="24"/>
      <c r="C20" s="24"/>
      <c r="D20" s="24"/>
      <c r="E20" s="24"/>
      <c r="F20" s="24"/>
      <c r="G20" s="24"/>
      <c r="H20" s="24"/>
      <c r="I20" s="24"/>
      <c r="J20" s="24"/>
      <c r="K20" s="24"/>
      <c r="L20" s="24"/>
      <c r="M20" s="24"/>
      <c r="N20" s="24"/>
      <c r="O20" s="24"/>
      <c r="P20" s="24"/>
      <c r="Q20" s="24"/>
      <c r="R20" s="24"/>
      <c r="S20" s="24"/>
      <c r="T20" s="24"/>
      <c r="U20" s="24"/>
      <c r="V20" s="24"/>
      <c r="W20" s="24"/>
      <c r="X20" s="24"/>
    </row>
    <row r="21">
      <c r="A21" s="24"/>
      <c r="B21" s="24"/>
      <c r="C21" s="24"/>
      <c r="D21" s="24"/>
      <c r="E21" s="24"/>
      <c r="F21" s="24"/>
      <c r="G21" s="24"/>
      <c r="H21" s="24"/>
      <c r="I21" s="24"/>
      <c r="J21" s="24"/>
      <c r="K21" s="24"/>
      <c r="L21" s="24"/>
      <c r="M21" s="24"/>
      <c r="N21" s="24"/>
      <c r="O21" s="24"/>
      <c r="P21" s="24"/>
      <c r="Q21" s="24"/>
      <c r="R21" s="24"/>
      <c r="S21" s="24"/>
      <c r="T21" s="24"/>
      <c r="U21" s="24"/>
      <c r="V21" s="24"/>
      <c r="W21" s="24"/>
      <c r="X21" s="24"/>
    </row>
    <row r="22">
      <c r="A22" s="24"/>
      <c r="B22" s="24"/>
      <c r="C22" s="24"/>
      <c r="D22" s="24"/>
      <c r="E22" s="24"/>
      <c r="F22" s="24"/>
      <c r="G22" s="24"/>
      <c r="H22" s="24"/>
      <c r="I22" s="24"/>
      <c r="J22" s="24"/>
      <c r="K22" s="24"/>
      <c r="L22" s="24"/>
      <c r="M22" s="24"/>
      <c r="N22" s="24"/>
      <c r="O22" s="24"/>
      <c r="P22" s="24"/>
      <c r="Q22" s="24"/>
      <c r="R22" s="24"/>
      <c r="S22" s="24"/>
      <c r="T22" s="24"/>
      <c r="U22" s="24"/>
      <c r="V22" s="24"/>
      <c r="W22" s="24"/>
      <c r="X22" s="24"/>
    </row>
    <row r="23">
      <c r="A23" s="24"/>
      <c r="B23" s="24"/>
      <c r="C23" s="24"/>
      <c r="D23" s="24"/>
      <c r="E23" s="24"/>
      <c r="F23" s="24"/>
      <c r="G23" s="24"/>
      <c r="H23" s="24"/>
      <c r="I23" s="24"/>
      <c r="J23" s="24"/>
      <c r="K23" s="24"/>
      <c r="L23" s="24"/>
      <c r="M23" s="24"/>
      <c r="N23" s="24"/>
      <c r="O23" s="24"/>
      <c r="P23" s="24"/>
      <c r="Q23" s="24"/>
      <c r="R23" s="24"/>
      <c r="S23" s="24"/>
      <c r="T23" s="24"/>
      <c r="U23" s="24"/>
      <c r="V23" s="24"/>
      <c r="W23" s="24"/>
      <c r="X23" s="24"/>
    </row>
    <row r="24">
      <c r="A24" s="24"/>
      <c r="B24" s="24"/>
      <c r="C24" s="24"/>
      <c r="D24" s="24"/>
      <c r="E24" s="24"/>
      <c r="F24" s="24"/>
      <c r="G24" s="24"/>
      <c r="H24" s="24"/>
      <c r="I24" s="24"/>
      <c r="J24" s="24"/>
      <c r="K24" s="24"/>
      <c r="L24" s="24"/>
      <c r="M24" s="24"/>
      <c r="N24" s="24"/>
      <c r="O24" s="24"/>
      <c r="P24" s="24"/>
      <c r="Q24" s="24"/>
      <c r="R24" s="24"/>
      <c r="S24" s="24"/>
      <c r="T24" s="24"/>
      <c r="U24" s="24"/>
      <c r="V24" s="24"/>
      <c r="W24" s="24"/>
      <c r="X24" s="24"/>
    </row>
    <row r="25">
      <c r="A25" s="24"/>
      <c r="B25" s="24"/>
      <c r="C25" s="24"/>
      <c r="D25" s="24"/>
      <c r="E25" s="24"/>
      <c r="F25" s="24"/>
      <c r="G25" s="24"/>
      <c r="H25" s="24"/>
      <c r="I25" s="24"/>
      <c r="J25" s="24"/>
      <c r="K25" s="24"/>
      <c r="L25" s="24"/>
      <c r="M25" s="24"/>
      <c r="N25" s="24"/>
      <c r="O25" s="24"/>
      <c r="P25" s="24"/>
      <c r="Q25" s="24"/>
      <c r="R25" s="24"/>
      <c r="S25" s="24"/>
      <c r="T25" s="24"/>
      <c r="U25" s="24"/>
      <c r="V25" s="24"/>
      <c r="W25" s="24"/>
      <c r="X25" s="24"/>
    </row>
    <row r="26">
      <c r="A26" s="24"/>
      <c r="B26" s="24"/>
      <c r="C26" s="24"/>
      <c r="D26" s="24"/>
      <c r="E26" s="24"/>
      <c r="F26" s="24"/>
      <c r="G26" s="24"/>
      <c r="H26" s="24"/>
      <c r="I26" s="24"/>
      <c r="J26" s="24"/>
      <c r="K26" s="24"/>
      <c r="L26" s="24"/>
      <c r="M26" s="24"/>
      <c r="N26" s="24"/>
      <c r="O26" s="24"/>
      <c r="P26" s="24"/>
      <c r="Q26" s="24"/>
      <c r="R26" s="24"/>
      <c r="S26" s="24"/>
      <c r="T26" s="24"/>
      <c r="U26" s="24"/>
      <c r="V26" s="24"/>
      <c r="W26" s="24"/>
      <c r="X26" s="24"/>
    </row>
    <row r="27">
      <c r="A27" s="24"/>
      <c r="B27" s="24"/>
      <c r="C27" s="24"/>
      <c r="D27" s="24"/>
      <c r="E27" s="24"/>
      <c r="F27" s="24"/>
      <c r="G27" s="127"/>
      <c r="H27" s="24"/>
      <c r="I27" s="24"/>
      <c r="J27" s="24"/>
      <c r="K27" s="24"/>
      <c r="L27" s="24"/>
      <c r="M27" s="24"/>
      <c r="N27" s="24"/>
      <c r="O27" s="24"/>
      <c r="P27" s="24"/>
      <c r="Q27" s="24"/>
      <c r="R27" s="24"/>
      <c r="S27" s="24"/>
      <c r="T27" s="24"/>
      <c r="U27" s="24"/>
      <c r="V27" s="24"/>
      <c r="W27" s="24"/>
      <c r="X27" s="24"/>
    </row>
    <row r="28">
      <c r="A28" s="24"/>
      <c r="B28" s="24"/>
      <c r="C28" s="24"/>
      <c r="D28" s="24"/>
      <c r="E28" s="24"/>
      <c r="F28" s="24"/>
      <c r="G28" s="24"/>
      <c r="H28" s="24"/>
      <c r="I28" s="24"/>
      <c r="J28" s="24"/>
      <c r="K28" s="24"/>
      <c r="L28" s="24"/>
      <c r="M28" s="24"/>
      <c r="N28" s="24"/>
      <c r="O28" s="24"/>
      <c r="P28" s="24"/>
      <c r="Q28" s="24"/>
      <c r="R28" s="24"/>
      <c r="S28" s="24"/>
      <c r="T28" s="24"/>
      <c r="U28" s="24"/>
      <c r="V28" s="24"/>
      <c r="W28" s="24"/>
      <c r="X28" s="24"/>
    </row>
    <row r="29">
      <c r="A29" s="24"/>
      <c r="B29" s="24"/>
      <c r="C29" s="24"/>
      <c r="D29" s="24"/>
      <c r="E29" s="24"/>
      <c r="F29" s="24"/>
      <c r="G29" s="24"/>
      <c r="H29" s="24"/>
      <c r="I29" s="24"/>
      <c r="J29" s="24"/>
      <c r="K29" s="24"/>
      <c r="L29" s="24"/>
      <c r="M29" s="24"/>
      <c r="N29" s="24"/>
      <c r="O29" s="24"/>
      <c r="P29" s="24"/>
      <c r="Q29" s="24"/>
      <c r="R29" s="24"/>
      <c r="S29" s="24"/>
      <c r="T29" s="24"/>
      <c r="U29" s="24"/>
      <c r="V29" s="24"/>
      <c r="W29" s="24"/>
      <c r="X29" s="24"/>
    </row>
    <row r="30">
      <c r="A30" s="24"/>
      <c r="B30" s="24"/>
      <c r="C30" s="24"/>
      <c r="D30" s="24"/>
      <c r="E30" s="24"/>
      <c r="F30" s="24"/>
      <c r="G30" s="24"/>
      <c r="H30" s="24"/>
      <c r="I30" s="24"/>
      <c r="J30" s="24"/>
      <c r="K30" s="24"/>
      <c r="L30" s="24"/>
      <c r="M30" s="24"/>
      <c r="N30" s="24"/>
      <c r="O30" s="24"/>
      <c r="P30" s="24"/>
      <c r="Q30" s="24"/>
      <c r="R30" s="24"/>
      <c r="S30" s="24"/>
      <c r="T30" s="24"/>
      <c r="U30" s="24"/>
      <c r="V30" s="24"/>
      <c r="W30" s="24"/>
      <c r="X30" s="24"/>
    </row>
    <row r="31">
      <c r="A31" s="24"/>
      <c r="B31" s="24"/>
      <c r="C31" s="24"/>
      <c r="D31" s="24"/>
      <c r="E31" s="24"/>
      <c r="F31" s="24"/>
      <c r="G31" s="24"/>
      <c r="H31" s="24"/>
      <c r="I31" s="24"/>
      <c r="J31" s="24"/>
      <c r="K31" s="24"/>
      <c r="L31" s="24"/>
      <c r="M31" s="24"/>
      <c r="N31" s="24"/>
      <c r="O31" s="24"/>
      <c r="P31" s="24"/>
      <c r="Q31" s="24"/>
      <c r="R31" s="24"/>
      <c r="S31" s="24"/>
      <c r="T31" s="24"/>
      <c r="U31" s="24"/>
      <c r="V31" s="24"/>
      <c r="W31" s="24"/>
      <c r="X31" s="24"/>
    </row>
    <row r="32">
      <c r="A32" s="24"/>
      <c r="B32" s="24"/>
      <c r="C32" s="24"/>
      <c r="D32" s="24"/>
      <c r="E32" s="24"/>
      <c r="F32" s="24"/>
      <c r="G32" s="24"/>
      <c r="H32" s="24"/>
      <c r="I32" s="24"/>
      <c r="J32" s="24"/>
      <c r="K32" s="24"/>
      <c r="L32" s="24"/>
      <c r="M32" s="24"/>
      <c r="N32" s="24"/>
      <c r="O32" s="24"/>
      <c r="P32" s="24"/>
      <c r="Q32" s="24"/>
      <c r="R32" s="24"/>
      <c r="S32" s="24"/>
      <c r="T32" s="24"/>
      <c r="U32" s="24"/>
      <c r="V32" s="24"/>
      <c r="W32" s="24"/>
      <c r="X32" s="24"/>
    </row>
    <row r="33">
      <c r="A33" s="24"/>
      <c r="B33" s="24"/>
      <c r="C33" s="24"/>
      <c r="D33" s="24"/>
      <c r="E33" s="24"/>
      <c r="F33" s="24"/>
      <c r="G33" s="24"/>
      <c r="H33" s="24"/>
      <c r="I33" s="24"/>
      <c r="J33" s="24"/>
      <c r="K33" s="24"/>
      <c r="L33" s="24"/>
      <c r="M33" s="24"/>
      <c r="N33" s="24"/>
      <c r="O33" s="24"/>
      <c r="P33" s="24"/>
      <c r="Q33" s="24"/>
      <c r="R33" s="24"/>
      <c r="S33" s="24"/>
      <c r="T33" s="24"/>
      <c r="U33" s="24"/>
      <c r="V33" s="24"/>
      <c r="W33" s="24"/>
      <c r="X33" s="24"/>
    </row>
    <row r="34">
      <c r="A34" s="24"/>
      <c r="B34" s="24"/>
      <c r="C34" s="24"/>
      <c r="D34" s="24"/>
      <c r="E34" s="24"/>
      <c r="F34" s="24"/>
      <c r="G34" s="24"/>
      <c r="H34" s="24"/>
      <c r="I34" s="24"/>
      <c r="J34" s="24"/>
      <c r="K34" s="24"/>
      <c r="L34" s="24"/>
      <c r="M34" s="24"/>
      <c r="N34" s="24"/>
      <c r="O34" s="24"/>
      <c r="P34" s="24"/>
      <c r="Q34" s="24"/>
      <c r="R34" s="24"/>
      <c r="S34" s="24"/>
      <c r="T34" s="24"/>
      <c r="U34" s="24"/>
      <c r="V34" s="24"/>
      <c r="W34" s="24"/>
      <c r="X34" s="24"/>
    </row>
    <row r="35">
      <c r="A35" s="24"/>
      <c r="B35" s="24"/>
      <c r="C35" s="24"/>
      <c r="D35" s="24"/>
      <c r="E35" s="24"/>
      <c r="F35" s="24"/>
      <c r="G35" s="24"/>
      <c r="H35" s="24"/>
      <c r="I35" s="24"/>
      <c r="J35" s="24"/>
      <c r="K35" s="24"/>
      <c r="L35" s="24"/>
      <c r="M35" s="24"/>
      <c r="N35" s="24"/>
      <c r="O35" s="24"/>
      <c r="P35" s="24"/>
      <c r="Q35" s="24"/>
      <c r="R35" s="24"/>
      <c r="S35" s="24"/>
      <c r="T35" s="24"/>
      <c r="U35" s="24"/>
      <c r="V35" s="24"/>
      <c r="W35" s="24"/>
      <c r="X35" s="24"/>
    </row>
    <row r="36">
      <c r="A36" s="24"/>
      <c r="B36" s="24"/>
      <c r="C36" s="24"/>
      <c r="D36" s="24"/>
      <c r="E36" s="24"/>
      <c r="F36" s="24"/>
      <c r="G36" s="24"/>
      <c r="H36" s="24"/>
      <c r="I36" s="24"/>
      <c r="J36" s="24"/>
      <c r="K36" s="24"/>
      <c r="L36" s="24"/>
      <c r="M36" s="24"/>
      <c r="N36" s="24"/>
      <c r="O36" s="24"/>
      <c r="P36" s="24"/>
      <c r="Q36" s="24"/>
      <c r="R36" s="24"/>
      <c r="S36" s="24"/>
      <c r="T36" s="24"/>
      <c r="U36" s="24"/>
      <c r="V36" s="24"/>
      <c r="W36" s="24"/>
      <c r="X36" s="24"/>
    </row>
    <row r="37">
      <c r="A37" s="24"/>
      <c r="B37" s="24"/>
      <c r="C37" s="24"/>
      <c r="D37" s="24"/>
      <c r="E37" s="24"/>
      <c r="F37" s="24"/>
      <c r="G37" s="24"/>
      <c r="H37" s="24"/>
      <c r="I37" s="24"/>
      <c r="J37" s="24"/>
      <c r="K37" s="24"/>
      <c r="L37" s="24"/>
      <c r="M37" s="24"/>
      <c r="N37" s="24"/>
      <c r="O37" s="24"/>
      <c r="P37" s="24"/>
      <c r="Q37" s="24"/>
      <c r="R37" s="24"/>
      <c r="S37" s="24"/>
      <c r="T37" s="24"/>
      <c r="U37" s="24"/>
      <c r="V37" s="24"/>
      <c r="W37" s="24"/>
      <c r="X37" s="24"/>
    </row>
    <row r="38">
      <c r="A38" s="24"/>
      <c r="B38" s="24"/>
      <c r="C38" s="24"/>
      <c r="D38" s="24"/>
      <c r="E38" s="24"/>
      <c r="F38" s="24"/>
      <c r="G38" s="24"/>
      <c r="H38" s="24"/>
      <c r="I38" s="24"/>
      <c r="J38" s="24"/>
      <c r="K38" s="24"/>
      <c r="L38" s="24"/>
      <c r="M38" s="24"/>
      <c r="N38" s="24"/>
      <c r="O38" s="24"/>
      <c r="P38" s="24"/>
      <c r="Q38" s="24"/>
      <c r="R38" s="24"/>
      <c r="S38" s="24"/>
      <c r="T38" s="24"/>
      <c r="U38" s="24"/>
      <c r="V38" s="24"/>
      <c r="W38" s="24"/>
      <c r="X38" s="24"/>
    </row>
    <row r="39">
      <c r="A39" s="24"/>
      <c r="B39" s="24"/>
      <c r="C39" s="24"/>
      <c r="D39" s="24"/>
      <c r="E39" s="24"/>
      <c r="F39" s="24"/>
      <c r="G39" s="24"/>
      <c r="H39" s="24"/>
      <c r="I39" s="24"/>
      <c r="J39" s="24"/>
      <c r="K39" s="24"/>
      <c r="L39" s="24"/>
      <c r="M39" s="24"/>
      <c r="N39" s="24"/>
      <c r="O39" s="24"/>
      <c r="P39" s="24"/>
      <c r="Q39" s="24"/>
      <c r="R39" s="24"/>
      <c r="S39" s="24"/>
      <c r="T39" s="24"/>
      <c r="U39" s="24"/>
      <c r="V39" s="24"/>
      <c r="W39" s="24"/>
      <c r="X39" s="24"/>
    </row>
    <row r="40">
      <c r="A40" s="24"/>
      <c r="B40" s="24"/>
      <c r="C40" s="24"/>
      <c r="D40" s="24"/>
      <c r="E40" s="24"/>
      <c r="F40" s="24"/>
      <c r="G40" s="24"/>
      <c r="H40" s="24"/>
      <c r="I40" s="24"/>
      <c r="J40" s="24"/>
      <c r="K40" s="24"/>
      <c r="L40" s="24"/>
      <c r="M40" s="24"/>
      <c r="N40" s="24"/>
      <c r="O40" s="24"/>
      <c r="P40" s="24"/>
      <c r="Q40" s="24"/>
      <c r="R40" s="24"/>
      <c r="S40" s="24"/>
      <c r="T40" s="24"/>
      <c r="U40" s="24"/>
      <c r="V40" s="24"/>
      <c r="W40" s="24"/>
      <c r="X40" s="24"/>
    </row>
    <row r="41">
      <c r="A41" s="24"/>
      <c r="B41" s="24"/>
      <c r="C41" s="24"/>
      <c r="D41" s="24"/>
      <c r="E41" s="24"/>
      <c r="F41" s="24"/>
      <c r="G41" s="24"/>
      <c r="H41" s="24"/>
      <c r="I41" s="24"/>
      <c r="J41" s="24"/>
      <c r="K41" s="24"/>
      <c r="L41" s="24"/>
      <c r="M41" s="24"/>
      <c r="N41" s="24"/>
      <c r="O41" s="24"/>
      <c r="P41" s="24"/>
      <c r="Q41" s="24"/>
      <c r="R41" s="24"/>
      <c r="S41" s="24"/>
      <c r="T41" s="24"/>
      <c r="U41" s="24"/>
      <c r="V41" s="24"/>
      <c r="W41" s="24"/>
      <c r="X41" s="24"/>
    </row>
    <row r="42">
      <c r="A42" s="24"/>
      <c r="B42" s="24"/>
      <c r="C42" s="24"/>
      <c r="D42" s="24"/>
      <c r="E42" s="24"/>
      <c r="F42" s="24"/>
      <c r="G42" s="24"/>
      <c r="H42" s="24"/>
      <c r="I42" s="24"/>
      <c r="J42" s="24"/>
      <c r="K42" s="24"/>
      <c r="L42" s="24"/>
      <c r="M42" s="24"/>
      <c r="N42" s="24"/>
      <c r="O42" s="24"/>
      <c r="P42" s="24"/>
      <c r="Q42" s="24"/>
      <c r="R42" s="24"/>
      <c r="S42" s="24"/>
      <c r="T42" s="24"/>
      <c r="U42" s="24"/>
      <c r="V42" s="24"/>
      <c r="W42" s="24"/>
      <c r="X42" s="24"/>
    </row>
    <row r="43">
      <c r="A43" s="24"/>
      <c r="B43" s="24"/>
      <c r="C43" s="24"/>
      <c r="D43" s="24"/>
      <c r="E43" s="24"/>
      <c r="F43" s="24"/>
      <c r="G43" s="24"/>
      <c r="H43" s="24"/>
      <c r="I43" s="24"/>
      <c r="J43" s="24"/>
      <c r="K43" s="24"/>
      <c r="L43" s="24"/>
      <c r="M43" s="24"/>
      <c r="N43" s="24"/>
      <c r="O43" s="24"/>
      <c r="P43" s="24"/>
      <c r="Q43" s="24"/>
      <c r="R43" s="24"/>
      <c r="S43" s="24"/>
      <c r="T43" s="24"/>
      <c r="U43" s="24"/>
      <c r="V43" s="24"/>
      <c r="W43" s="24"/>
      <c r="X43" s="24"/>
    </row>
    <row r="44">
      <c r="A44" s="24"/>
      <c r="B44" s="24"/>
      <c r="C44" s="24"/>
      <c r="D44" s="24"/>
      <c r="E44" s="24"/>
      <c r="F44" s="24"/>
      <c r="G44" s="24"/>
      <c r="H44" s="24"/>
      <c r="I44" s="24"/>
      <c r="J44" s="24"/>
      <c r="K44" s="24"/>
      <c r="L44" s="24"/>
      <c r="M44" s="24"/>
      <c r="N44" s="24"/>
      <c r="O44" s="24"/>
      <c r="P44" s="24"/>
      <c r="Q44" s="24"/>
      <c r="R44" s="24"/>
      <c r="S44" s="24"/>
      <c r="T44" s="24"/>
      <c r="U44" s="24"/>
      <c r="V44" s="24"/>
      <c r="W44" s="24"/>
      <c r="X44" s="24"/>
    </row>
    <row r="45">
      <c r="A45" s="24"/>
      <c r="B45" s="24"/>
      <c r="C45" s="24"/>
      <c r="D45" s="24"/>
      <c r="E45" s="24"/>
      <c r="F45" s="24"/>
      <c r="G45" s="24"/>
      <c r="H45" s="24"/>
      <c r="I45" s="24"/>
      <c r="J45" s="24"/>
      <c r="K45" s="24"/>
      <c r="L45" s="24"/>
      <c r="M45" s="24"/>
      <c r="N45" s="24"/>
      <c r="O45" s="24"/>
      <c r="P45" s="24"/>
      <c r="Q45" s="24"/>
      <c r="R45" s="24"/>
      <c r="S45" s="24"/>
      <c r="T45" s="24"/>
      <c r="U45" s="24"/>
      <c r="V45" s="24"/>
      <c r="W45" s="24"/>
      <c r="X45" s="24"/>
    </row>
    <row r="46">
      <c r="A46" s="24"/>
      <c r="B46" s="24"/>
      <c r="C46" s="24"/>
      <c r="D46" s="24"/>
      <c r="E46" s="24"/>
      <c r="F46" s="24"/>
      <c r="G46" s="24"/>
      <c r="H46" s="24"/>
      <c r="I46" s="24"/>
      <c r="J46" s="24"/>
      <c r="K46" s="24"/>
      <c r="L46" s="24"/>
      <c r="M46" s="24"/>
      <c r="N46" s="24"/>
      <c r="O46" s="24"/>
      <c r="P46" s="24"/>
      <c r="Q46" s="24"/>
      <c r="R46" s="24"/>
      <c r="S46" s="24"/>
      <c r="T46" s="24"/>
      <c r="U46" s="24"/>
      <c r="V46" s="24"/>
      <c r="W46" s="24"/>
      <c r="X46" s="24"/>
    </row>
    <row r="47">
      <c r="A47" s="24"/>
      <c r="B47" s="24"/>
      <c r="C47" s="24"/>
      <c r="D47" s="24"/>
      <c r="E47" s="24"/>
      <c r="F47" s="24"/>
      <c r="G47" s="24"/>
      <c r="H47" s="24"/>
      <c r="I47" s="24"/>
      <c r="J47" s="24"/>
      <c r="K47" s="24"/>
      <c r="L47" s="24"/>
      <c r="M47" s="24"/>
      <c r="N47" s="24"/>
      <c r="O47" s="24"/>
      <c r="P47" s="24"/>
      <c r="Q47" s="24"/>
      <c r="R47" s="24"/>
      <c r="S47" s="24"/>
      <c r="T47" s="24"/>
      <c r="U47" s="24"/>
      <c r="V47" s="24"/>
      <c r="W47" s="24"/>
      <c r="X47" s="24"/>
    </row>
    <row r="48">
      <c r="A48" s="24"/>
      <c r="B48" s="24"/>
      <c r="C48" s="24"/>
      <c r="D48" s="24"/>
      <c r="E48" s="24"/>
      <c r="F48" s="24"/>
      <c r="G48" s="24"/>
      <c r="H48" s="24"/>
      <c r="I48" s="24"/>
      <c r="J48" s="24"/>
      <c r="K48" s="24"/>
      <c r="L48" s="24"/>
      <c r="M48" s="24"/>
      <c r="N48" s="24"/>
      <c r="O48" s="24"/>
      <c r="P48" s="24"/>
      <c r="Q48" s="24"/>
      <c r="R48" s="24"/>
      <c r="S48" s="24"/>
      <c r="T48" s="24"/>
      <c r="U48" s="24"/>
      <c r="V48" s="24"/>
      <c r="W48" s="24"/>
      <c r="X48" s="24"/>
    </row>
    <row r="49">
      <c r="A49" s="24"/>
      <c r="B49" s="24"/>
      <c r="C49" s="24"/>
      <c r="D49" s="24"/>
      <c r="E49" s="24"/>
      <c r="F49" s="24"/>
      <c r="G49" s="24"/>
      <c r="H49" s="24"/>
      <c r="I49" s="24"/>
      <c r="J49" s="24"/>
      <c r="K49" s="24"/>
      <c r="L49" s="24"/>
      <c r="M49" s="24"/>
      <c r="N49" s="24"/>
      <c r="O49" s="24"/>
      <c r="P49" s="24"/>
      <c r="Q49" s="24"/>
      <c r="R49" s="24"/>
      <c r="S49" s="24"/>
      <c r="T49" s="24"/>
      <c r="U49" s="24"/>
      <c r="V49" s="24"/>
      <c r="W49" s="24"/>
      <c r="X49" s="24"/>
    </row>
    <row r="50">
      <c r="A50" s="24"/>
      <c r="B50" s="24"/>
      <c r="C50" s="24"/>
      <c r="D50" s="24"/>
      <c r="E50" s="24"/>
      <c r="F50" s="24"/>
      <c r="G50" s="24"/>
      <c r="H50" s="24"/>
      <c r="I50" s="24"/>
      <c r="J50" s="24"/>
      <c r="K50" s="24"/>
      <c r="L50" s="24"/>
      <c r="M50" s="24"/>
      <c r="N50" s="24"/>
      <c r="O50" s="24"/>
      <c r="P50" s="24"/>
      <c r="Q50" s="24"/>
      <c r="R50" s="24"/>
      <c r="S50" s="24"/>
      <c r="T50" s="24"/>
      <c r="U50" s="24"/>
      <c r="V50" s="24"/>
      <c r="W50" s="24"/>
      <c r="X50" s="24"/>
    </row>
    <row r="51">
      <c r="A51" s="24"/>
      <c r="B51" s="24"/>
      <c r="C51" s="24"/>
      <c r="D51" s="24"/>
      <c r="E51" s="24"/>
      <c r="F51" s="24"/>
      <c r="G51" s="24"/>
      <c r="H51" s="24"/>
      <c r="I51" s="24"/>
      <c r="J51" s="24"/>
      <c r="K51" s="24"/>
      <c r="L51" s="24"/>
      <c r="M51" s="24"/>
      <c r="N51" s="24"/>
      <c r="O51" s="24"/>
      <c r="P51" s="24"/>
      <c r="Q51" s="24"/>
      <c r="R51" s="24"/>
      <c r="S51" s="24"/>
      <c r="T51" s="24"/>
      <c r="U51" s="24"/>
      <c r="V51" s="24"/>
      <c r="W51" s="24"/>
      <c r="X51" s="24"/>
    </row>
    <row r="52">
      <c r="A52" s="24"/>
      <c r="B52" s="24"/>
      <c r="C52" s="24"/>
      <c r="D52" s="24"/>
      <c r="E52" s="24"/>
      <c r="F52" s="24"/>
      <c r="G52" s="24"/>
      <c r="H52" s="24"/>
      <c r="I52" s="24"/>
      <c r="J52" s="24"/>
      <c r="K52" s="24"/>
      <c r="L52" s="24"/>
      <c r="M52" s="24"/>
      <c r="N52" s="24"/>
      <c r="O52" s="24"/>
      <c r="P52" s="24"/>
      <c r="Q52" s="24"/>
      <c r="R52" s="24"/>
      <c r="S52" s="24"/>
      <c r="T52" s="24"/>
      <c r="U52" s="24"/>
      <c r="V52" s="24"/>
      <c r="W52" s="24"/>
      <c r="X52" s="24"/>
    </row>
    <row r="53">
      <c r="A53" s="24"/>
      <c r="B53" s="24"/>
      <c r="C53" s="24"/>
      <c r="D53" s="24"/>
      <c r="E53" s="24"/>
      <c r="F53" s="24"/>
      <c r="G53" s="24"/>
      <c r="H53" s="24"/>
      <c r="I53" s="24"/>
      <c r="J53" s="24"/>
      <c r="K53" s="24"/>
      <c r="L53" s="24"/>
      <c r="M53" s="24"/>
      <c r="N53" s="24"/>
      <c r="O53" s="24"/>
      <c r="P53" s="24"/>
      <c r="Q53" s="24"/>
      <c r="R53" s="24"/>
      <c r="S53" s="24"/>
      <c r="T53" s="24"/>
      <c r="U53" s="24"/>
      <c r="V53" s="24"/>
      <c r="W53" s="24"/>
      <c r="X53" s="24"/>
    </row>
    <row r="54">
      <c r="A54" s="24"/>
      <c r="B54" s="24"/>
      <c r="C54" s="24"/>
      <c r="D54" s="24"/>
      <c r="E54" s="24"/>
      <c r="F54" s="24"/>
      <c r="G54" s="24"/>
      <c r="H54" s="24"/>
      <c r="I54" s="24"/>
      <c r="J54" s="24"/>
      <c r="K54" s="24"/>
      <c r="L54" s="24"/>
      <c r="M54" s="24"/>
      <c r="N54" s="24"/>
      <c r="O54" s="24"/>
      <c r="P54" s="24"/>
      <c r="Q54" s="24"/>
      <c r="R54" s="24"/>
      <c r="S54" s="24"/>
      <c r="T54" s="24"/>
      <c r="U54" s="24"/>
      <c r="V54" s="24"/>
      <c r="W54" s="24"/>
      <c r="X54" s="24"/>
    </row>
    <row r="55">
      <c r="A55" s="24"/>
      <c r="B55" s="24"/>
      <c r="C55" s="24"/>
      <c r="D55" s="24"/>
      <c r="E55" s="24"/>
      <c r="F55" s="24"/>
      <c r="G55" s="24"/>
      <c r="H55" s="24"/>
      <c r="I55" s="24"/>
      <c r="J55" s="24"/>
      <c r="K55" s="24"/>
      <c r="L55" s="24"/>
      <c r="M55" s="24"/>
      <c r="N55" s="24"/>
      <c r="O55" s="24"/>
      <c r="P55" s="24"/>
      <c r="Q55" s="24"/>
      <c r="R55" s="24"/>
      <c r="S55" s="24"/>
      <c r="T55" s="24"/>
      <c r="U55" s="24"/>
      <c r="V55" s="24"/>
      <c r="W55" s="24"/>
      <c r="X55" s="24"/>
    </row>
    <row r="56">
      <c r="A56" s="24"/>
      <c r="B56" s="24"/>
      <c r="C56" s="24"/>
      <c r="D56" s="24"/>
      <c r="E56" s="24"/>
      <c r="F56" s="24"/>
      <c r="G56" s="24"/>
      <c r="H56" s="24"/>
      <c r="I56" s="24"/>
      <c r="J56" s="24"/>
      <c r="K56" s="24"/>
      <c r="L56" s="24"/>
      <c r="M56" s="24"/>
      <c r="N56" s="24"/>
      <c r="O56" s="24"/>
      <c r="P56" s="24"/>
      <c r="Q56" s="24"/>
      <c r="R56" s="24"/>
      <c r="S56" s="24"/>
      <c r="T56" s="24"/>
      <c r="U56" s="24"/>
      <c r="V56" s="24"/>
      <c r="W56" s="24"/>
      <c r="X56" s="24"/>
    </row>
    <row r="57">
      <c r="A57" s="24"/>
      <c r="B57" s="24"/>
      <c r="C57" s="24"/>
      <c r="D57" s="24"/>
      <c r="E57" s="24"/>
      <c r="F57" s="24"/>
      <c r="G57" s="24"/>
      <c r="H57" s="24"/>
      <c r="I57" s="24"/>
      <c r="J57" s="24"/>
      <c r="K57" s="24"/>
      <c r="L57" s="24"/>
      <c r="M57" s="24"/>
      <c r="N57" s="24"/>
      <c r="O57" s="24"/>
      <c r="P57" s="24"/>
      <c r="Q57" s="24"/>
      <c r="R57" s="24"/>
      <c r="S57" s="24"/>
      <c r="T57" s="24"/>
      <c r="U57" s="24"/>
      <c r="V57" s="24"/>
      <c r="W57" s="24"/>
      <c r="X57" s="24"/>
    </row>
    <row r="58">
      <c r="A58" s="24"/>
      <c r="B58" s="24"/>
      <c r="C58" s="24"/>
      <c r="D58" s="24"/>
      <c r="E58" s="24"/>
      <c r="F58" s="24"/>
      <c r="G58" s="24"/>
      <c r="H58" s="24"/>
      <c r="I58" s="24"/>
      <c r="J58" s="24"/>
      <c r="K58" s="24"/>
      <c r="L58" s="24"/>
      <c r="M58" s="24"/>
      <c r="N58" s="24"/>
      <c r="O58" s="24"/>
      <c r="P58" s="24"/>
      <c r="Q58" s="24"/>
      <c r="R58" s="24"/>
      <c r="S58" s="24"/>
      <c r="T58" s="24"/>
      <c r="U58" s="24"/>
      <c r="V58" s="24"/>
      <c r="W58" s="24"/>
      <c r="X58" s="24"/>
    </row>
    <row r="59">
      <c r="A59" s="24"/>
      <c r="B59" s="24"/>
      <c r="C59" s="24"/>
      <c r="D59" s="24"/>
      <c r="E59" s="24"/>
      <c r="F59" s="24"/>
      <c r="G59" s="24"/>
      <c r="H59" s="24"/>
      <c r="I59" s="24"/>
      <c r="J59" s="24"/>
      <c r="K59" s="24"/>
      <c r="L59" s="24"/>
      <c r="M59" s="24"/>
      <c r="N59" s="24"/>
      <c r="O59" s="24"/>
      <c r="P59" s="24"/>
      <c r="Q59" s="24"/>
      <c r="R59" s="24"/>
      <c r="S59" s="24"/>
      <c r="T59" s="24"/>
      <c r="U59" s="24"/>
      <c r="V59" s="24"/>
      <c r="W59" s="24"/>
      <c r="X59" s="24"/>
    </row>
    <row r="60">
      <c r="A60" s="24"/>
      <c r="B60" s="24"/>
      <c r="C60" s="24"/>
      <c r="D60" s="24"/>
      <c r="E60" s="24"/>
      <c r="F60" s="24"/>
      <c r="G60" s="24"/>
      <c r="H60" s="24"/>
      <c r="I60" s="24"/>
      <c r="J60" s="24"/>
      <c r="K60" s="24"/>
      <c r="L60" s="24"/>
      <c r="M60" s="24"/>
      <c r="N60" s="24"/>
      <c r="O60" s="24"/>
      <c r="P60" s="24"/>
      <c r="Q60" s="24"/>
      <c r="R60" s="24"/>
      <c r="S60" s="24"/>
      <c r="T60" s="24"/>
      <c r="U60" s="24"/>
      <c r="V60" s="24"/>
      <c r="W60" s="24"/>
      <c r="X60" s="24"/>
    </row>
    <row r="61">
      <c r="A61" s="24"/>
      <c r="B61" s="24"/>
      <c r="C61" s="24"/>
      <c r="D61" s="24"/>
      <c r="E61" s="24"/>
      <c r="F61" s="24"/>
      <c r="G61" s="24"/>
      <c r="H61" s="24"/>
      <c r="I61" s="24"/>
      <c r="J61" s="24"/>
      <c r="K61" s="24"/>
      <c r="L61" s="24"/>
      <c r="M61" s="24"/>
      <c r="N61" s="24"/>
      <c r="O61" s="24"/>
      <c r="P61" s="24"/>
      <c r="Q61" s="24"/>
      <c r="R61" s="24"/>
      <c r="S61" s="24"/>
      <c r="T61" s="24"/>
      <c r="U61" s="24"/>
      <c r="V61" s="24"/>
      <c r="W61" s="24"/>
      <c r="X61" s="24"/>
    </row>
    <row r="62">
      <c r="A62" s="24"/>
      <c r="B62" s="24"/>
      <c r="C62" s="24"/>
      <c r="D62" s="24"/>
      <c r="E62" s="24"/>
      <c r="F62" s="24"/>
      <c r="G62" s="24"/>
      <c r="H62" s="24"/>
      <c r="I62" s="24"/>
      <c r="J62" s="24"/>
      <c r="K62" s="24"/>
      <c r="L62" s="24"/>
      <c r="M62" s="24"/>
      <c r="N62" s="24"/>
      <c r="O62" s="24"/>
      <c r="P62" s="24"/>
      <c r="Q62" s="24"/>
      <c r="R62" s="24"/>
      <c r="S62" s="24"/>
      <c r="T62" s="24"/>
      <c r="U62" s="24"/>
      <c r="V62" s="24"/>
      <c r="W62" s="24"/>
      <c r="X62" s="24"/>
    </row>
    <row r="63">
      <c r="A63" s="24"/>
      <c r="B63" s="24"/>
      <c r="C63" s="24"/>
      <c r="D63" s="24"/>
      <c r="E63" s="24"/>
      <c r="F63" s="24"/>
      <c r="G63" s="24"/>
      <c r="H63" s="24"/>
      <c r="I63" s="24"/>
      <c r="J63" s="24"/>
      <c r="K63" s="24"/>
      <c r="L63" s="24"/>
      <c r="M63" s="24"/>
      <c r="N63" s="24"/>
      <c r="O63" s="24"/>
      <c r="P63" s="24"/>
      <c r="Q63" s="24"/>
      <c r="R63" s="24"/>
      <c r="S63" s="24"/>
      <c r="T63" s="24"/>
      <c r="U63" s="24"/>
      <c r="V63" s="24"/>
      <c r="W63" s="24"/>
      <c r="X63" s="24"/>
    </row>
    <row r="64">
      <c r="A64" s="24"/>
      <c r="B64" s="24"/>
      <c r="C64" s="24"/>
      <c r="D64" s="24"/>
      <c r="E64" s="24"/>
      <c r="F64" s="24"/>
      <c r="G64" s="24"/>
      <c r="H64" s="24"/>
      <c r="I64" s="24"/>
      <c r="J64" s="24"/>
      <c r="K64" s="24"/>
      <c r="L64" s="24"/>
      <c r="M64" s="24"/>
      <c r="N64" s="24"/>
      <c r="O64" s="24"/>
      <c r="P64" s="24"/>
      <c r="Q64" s="24"/>
      <c r="R64" s="24"/>
      <c r="S64" s="24"/>
      <c r="T64" s="24"/>
      <c r="U64" s="24"/>
      <c r="V64" s="24"/>
      <c r="W64" s="24"/>
      <c r="X64" s="24"/>
    </row>
    <row r="65">
      <c r="A65" s="24"/>
      <c r="B65" s="24"/>
      <c r="C65" s="24"/>
      <c r="D65" s="24"/>
      <c r="E65" s="24"/>
      <c r="F65" s="24"/>
      <c r="G65" s="24"/>
      <c r="H65" s="24"/>
      <c r="I65" s="24"/>
      <c r="J65" s="24"/>
      <c r="K65" s="24"/>
      <c r="L65" s="24"/>
      <c r="M65" s="24"/>
      <c r="N65" s="24"/>
      <c r="O65" s="24"/>
      <c r="P65" s="24"/>
      <c r="Q65" s="24"/>
      <c r="R65" s="24"/>
      <c r="S65" s="24"/>
      <c r="T65" s="24"/>
      <c r="U65" s="24"/>
      <c r="V65" s="24"/>
      <c r="W65" s="24"/>
      <c r="X65" s="24"/>
    </row>
    <row r="66">
      <c r="A66" s="24"/>
      <c r="B66" s="24"/>
      <c r="C66" s="24"/>
      <c r="D66" s="24"/>
      <c r="E66" s="24"/>
      <c r="F66" s="24"/>
      <c r="G66" s="24"/>
      <c r="H66" s="24"/>
      <c r="I66" s="24"/>
      <c r="J66" s="24"/>
      <c r="K66" s="24"/>
      <c r="L66" s="24"/>
      <c r="M66" s="24"/>
      <c r="N66" s="24"/>
      <c r="O66" s="24"/>
      <c r="P66" s="24"/>
      <c r="Q66" s="24"/>
      <c r="R66" s="24"/>
      <c r="S66" s="24"/>
      <c r="T66" s="24"/>
      <c r="U66" s="24"/>
      <c r="V66" s="24"/>
      <c r="W66" s="24"/>
      <c r="X66" s="24"/>
    </row>
    <row r="67">
      <c r="A67" s="24"/>
      <c r="B67" s="24"/>
      <c r="C67" s="24"/>
      <c r="D67" s="24"/>
      <c r="E67" s="24"/>
      <c r="F67" s="24"/>
      <c r="G67" s="24"/>
      <c r="H67" s="24"/>
      <c r="I67" s="24"/>
      <c r="J67" s="24"/>
      <c r="K67" s="24"/>
      <c r="L67" s="24"/>
      <c r="M67" s="24"/>
      <c r="N67" s="24"/>
      <c r="O67" s="24"/>
      <c r="P67" s="24"/>
      <c r="Q67" s="24"/>
      <c r="R67" s="24"/>
      <c r="S67" s="24"/>
      <c r="T67" s="24"/>
      <c r="U67" s="24"/>
      <c r="V67" s="24"/>
      <c r="W67" s="24"/>
      <c r="X67" s="24"/>
    </row>
    <row r="68">
      <c r="A68" s="24"/>
      <c r="B68" s="24"/>
      <c r="C68" s="24"/>
      <c r="D68" s="24"/>
      <c r="E68" s="24"/>
      <c r="F68" s="24"/>
      <c r="G68" s="24"/>
      <c r="H68" s="24"/>
      <c r="I68" s="24"/>
      <c r="J68" s="24"/>
      <c r="K68" s="24"/>
      <c r="L68" s="24"/>
      <c r="M68" s="24"/>
      <c r="N68" s="24"/>
      <c r="O68" s="24"/>
      <c r="P68" s="24"/>
      <c r="Q68" s="24"/>
      <c r="R68" s="24"/>
      <c r="S68" s="24"/>
      <c r="T68" s="24"/>
      <c r="U68" s="24"/>
      <c r="V68" s="24"/>
      <c r="W68" s="24"/>
      <c r="X68" s="24"/>
    </row>
    <row r="69">
      <c r="A69" s="24"/>
      <c r="B69" s="24"/>
      <c r="C69" s="24"/>
      <c r="D69" s="24"/>
      <c r="E69" s="24"/>
      <c r="F69" s="24"/>
      <c r="G69" s="24"/>
      <c r="H69" s="24"/>
      <c r="I69" s="24"/>
      <c r="J69" s="24"/>
      <c r="K69" s="24"/>
      <c r="L69" s="24"/>
      <c r="M69" s="24"/>
      <c r="N69" s="24"/>
      <c r="O69" s="24"/>
      <c r="P69" s="24"/>
      <c r="Q69" s="24"/>
      <c r="R69" s="24"/>
      <c r="S69" s="24"/>
      <c r="T69" s="24"/>
      <c r="U69" s="24"/>
      <c r="V69" s="24"/>
      <c r="W69" s="24"/>
      <c r="X69" s="24"/>
    </row>
    <row r="70">
      <c r="A70" s="24"/>
      <c r="B70" s="24"/>
      <c r="C70" s="24"/>
      <c r="D70" s="24"/>
      <c r="E70" s="24"/>
      <c r="F70" s="24"/>
      <c r="G70" s="24"/>
      <c r="H70" s="24"/>
      <c r="I70" s="24"/>
      <c r="J70" s="24"/>
      <c r="K70" s="24"/>
      <c r="L70" s="24"/>
      <c r="M70" s="24"/>
      <c r="N70" s="24"/>
      <c r="O70" s="24"/>
      <c r="P70" s="24"/>
      <c r="Q70" s="24"/>
      <c r="R70" s="24"/>
      <c r="S70" s="24"/>
      <c r="T70" s="24"/>
      <c r="U70" s="24"/>
      <c r="V70" s="24"/>
      <c r="W70" s="24"/>
      <c r="X70" s="24"/>
    </row>
    <row r="71">
      <c r="A71" s="24"/>
      <c r="B71" s="24"/>
      <c r="C71" s="24"/>
      <c r="D71" s="24"/>
      <c r="E71" s="24"/>
      <c r="F71" s="24"/>
      <c r="G71" s="24"/>
      <c r="H71" s="24"/>
      <c r="I71" s="24"/>
      <c r="J71" s="24"/>
      <c r="K71" s="24"/>
      <c r="L71" s="24"/>
      <c r="M71" s="24"/>
      <c r="N71" s="24"/>
      <c r="O71" s="24"/>
      <c r="P71" s="24"/>
      <c r="Q71" s="24"/>
      <c r="R71" s="24"/>
      <c r="S71" s="24"/>
      <c r="T71" s="24"/>
      <c r="U71" s="24"/>
      <c r="V71" s="24"/>
      <c r="W71" s="24"/>
      <c r="X71" s="24"/>
    </row>
    <row r="72">
      <c r="A72" s="24"/>
      <c r="B72" s="24"/>
      <c r="C72" s="24"/>
      <c r="D72" s="24"/>
      <c r="E72" s="24"/>
      <c r="F72" s="24"/>
      <c r="G72" s="24"/>
      <c r="H72" s="24"/>
      <c r="I72" s="24"/>
      <c r="J72" s="24"/>
      <c r="K72" s="24"/>
      <c r="L72" s="24"/>
      <c r="M72" s="24"/>
      <c r="N72" s="24"/>
      <c r="O72" s="24"/>
      <c r="P72" s="24"/>
      <c r="Q72" s="24"/>
      <c r="R72" s="24"/>
      <c r="S72" s="24"/>
      <c r="T72" s="24"/>
      <c r="U72" s="24"/>
      <c r="V72" s="24"/>
      <c r="W72" s="24"/>
      <c r="X72" s="24"/>
    </row>
    <row r="73">
      <c r="A73" s="24"/>
      <c r="B73" s="24"/>
      <c r="C73" s="24"/>
      <c r="D73" s="24"/>
      <c r="E73" s="24"/>
      <c r="F73" s="24"/>
      <c r="G73" s="24"/>
      <c r="H73" s="24"/>
      <c r="I73" s="24"/>
      <c r="J73" s="24"/>
      <c r="K73" s="24"/>
      <c r="L73" s="24"/>
      <c r="M73" s="24"/>
      <c r="N73" s="24"/>
      <c r="O73" s="24"/>
      <c r="P73" s="24"/>
      <c r="Q73" s="24"/>
      <c r="R73" s="24"/>
      <c r="S73" s="24"/>
      <c r="T73" s="24"/>
      <c r="U73" s="24"/>
      <c r="V73" s="24"/>
      <c r="W73" s="24"/>
      <c r="X73" s="24"/>
    </row>
    <row r="74">
      <c r="A74" s="24"/>
      <c r="B74" s="24"/>
      <c r="C74" s="24"/>
      <c r="D74" s="24"/>
      <c r="E74" s="24"/>
      <c r="F74" s="24"/>
      <c r="G74" s="24"/>
      <c r="H74" s="24"/>
      <c r="I74" s="24"/>
      <c r="J74" s="24"/>
      <c r="K74" s="24"/>
      <c r="L74" s="24"/>
      <c r="M74" s="24"/>
      <c r="N74" s="24"/>
      <c r="O74" s="24"/>
      <c r="P74" s="24"/>
      <c r="Q74" s="24"/>
      <c r="R74" s="24"/>
      <c r="S74" s="24"/>
      <c r="T74" s="24"/>
      <c r="U74" s="24"/>
      <c r="V74" s="24"/>
      <c r="W74" s="24"/>
      <c r="X74" s="24"/>
    </row>
    <row r="75">
      <c r="A75" s="24"/>
      <c r="B75" s="24"/>
      <c r="C75" s="24"/>
      <c r="D75" s="24"/>
      <c r="E75" s="24"/>
      <c r="F75" s="24"/>
      <c r="G75" s="24"/>
      <c r="H75" s="24"/>
      <c r="I75" s="24"/>
      <c r="J75" s="24"/>
      <c r="K75" s="24"/>
      <c r="L75" s="24"/>
      <c r="M75" s="24"/>
      <c r="N75" s="24"/>
      <c r="O75" s="24"/>
      <c r="P75" s="24"/>
      <c r="Q75" s="24"/>
      <c r="R75" s="24"/>
      <c r="S75" s="24"/>
      <c r="T75" s="24"/>
      <c r="U75" s="24"/>
      <c r="V75" s="24"/>
      <c r="W75" s="24"/>
      <c r="X75" s="24"/>
    </row>
    <row r="76">
      <c r="A76" s="24"/>
      <c r="B76" s="24"/>
      <c r="C76" s="24"/>
      <c r="D76" s="24"/>
      <c r="E76" s="24"/>
      <c r="F76" s="24"/>
      <c r="G76" s="24"/>
      <c r="H76" s="24"/>
      <c r="I76" s="24"/>
      <c r="J76" s="24"/>
      <c r="K76" s="24"/>
      <c r="L76" s="24"/>
      <c r="M76" s="24"/>
      <c r="N76" s="24"/>
      <c r="O76" s="24"/>
      <c r="P76" s="24"/>
      <c r="Q76" s="24"/>
      <c r="R76" s="24"/>
      <c r="S76" s="24"/>
      <c r="T76" s="24"/>
      <c r="U76" s="24"/>
      <c r="V76" s="24"/>
      <c r="W76" s="24"/>
      <c r="X76" s="24"/>
    </row>
    <row r="77">
      <c r="A77" s="24"/>
      <c r="B77" s="24"/>
      <c r="C77" s="24"/>
      <c r="D77" s="24"/>
      <c r="E77" s="24"/>
      <c r="F77" s="24"/>
      <c r="G77" s="24"/>
      <c r="H77" s="24"/>
      <c r="I77" s="24"/>
      <c r="J77" s="24"/>
      <c r="K77" s="24"/>
      <c r="L77" s="24"/>
      <c r="M77" s="24"/>
      <c r="N77" s="24"/>
      <c r="O77" s="24"/>
      <c r="P77" s="24"/>
      <c r="Q77" s="24"/>
      <c r="R77" s="24"/>
      <c r="S77" s="24"/>
      <c r="T77" s="24"/>
      <c r="U77" s="24"/>
      <c r="V77" s="24"/>
      <c r="W77" s="24"/>
      <c r="X77" s="24"/>
    </row>
    <row r="78">
      <c r="A78" s="24"/>
      <c r="B78" s="24"/>
      <c r="C78" s="24"/>
      <c r="D78" s="24"/>
      <c r="E78" s="24"/>
      <c r="F78" s="24"/>
      <c r="G78" s="24"/>
      <c r="H78" s="24"/>
      <c r="I78" s="24"/>
      <c r="J78" s="24"/>
      <c r="K78" s="24"/>
      <c r="L78" s="24"/>
      <c r="M78" s="24"/>
      <c r="N78" s="24"/>
      <c r="O78" s="24"/>
      <c r="P78" s="24"/>
      <c r="Q78" s="24"/>
      <c r="R78" s="24"/>
      <c r="S78" s="24"/>
      <c r="T78" s="24"/>
      <c r="U78" s="24"/>
      <c r="V78" s="24"/>
      <c r="W78" s="24"/>
      <c r="X78" s="24"/>
    </row>
    <row r="79">
      <c r="A79" s="24"/>
      <c r="B79" s="24"/>
      <c r="C79" s="24"/>
      <c r="D79" s="24"/>
      <c r="E79" s="24"/>
      <c r="F79" s="24"/>
      <c r="G79" s="24"/>
      <c r="H79" s="24"/>
      <c r="I79" s="24"/>
      <c r="J79" s="24"/>
      <c r="K79" s="24"/>
      <c r="L79" s="24"/>
      <c r="M79" s="24"/>
      <c r="N79" s="24"/>
      <c r="O79" s="24"/>
      <c r="P79" s="24"/>
      <c r="Q79" s="24"/>
      <c r="R79" s="24"/>
      <c r="S79" s="24"/>
      <c r="T79" s="24"/>
      <c r="U79" s="24"/>
      <c r="V79" s="24"/>
      <c r="W79" s="24"/>
      <c r="X79" s="24"/>
    </row>
    <row r="80">
      <c r="A80" s="24"/>
      <c r="B80" s="24"/>
      <c r="C80" s="24"/>
      <c r="D80" s="24"/>
      <c r="E80" s="24"/>
      <c r="F80" s="24"/>
      <c r="G80" s="24"/>
      <c r="H80" s="24"/>
      <c r="I80" s="24"/>
      <c r="J80" s="24"/>
      <c r="K80" s="24"/>
      <c r="L80" s="24"/>
      <c r="M80" s="24"/>
      <c r="N80" s="24"/>
      <c r="O80" s="24"/>
      <c r="P80" s="24"/>
      <c r="Q80" s="24"/>
      <c r="R80" s="24"/>
      <c r="S80" s="24"/>
      <c r="T80" s="24"/>
      <c r="U80" s="24"/>
      <c r="V80" s="24"/>
      <c r="W80" s="24"/>
      <c r="X80" s="24"/>
    </row>
    <row r="81">
      <c r="A81" s="24"/>
      <c r="B81" s="24"/>
      <c r="C81" s="24"/>
      <c r="D81" s="24"/>
      <c r="E81" s="24"/>
      <c r="F81" s="24"/>
      <c r="G81" s="24"/>
      <c r="H81" s="24"/>
      <c r="I81" s="24"/>
      <c r="J81" s="24"/>
      <c r="K81" s="24"/>
      <c r="L81" s="24"/>
      <c r="M81" s="24"/>
      <c r="N81" s="24"/>
      <c r="O81" s="24"/>
      <c r="P81" s="24"/>
      <c r="Q81" s="24"/>
      <c r="R81" s="24"/>
      <c r="S81" s="24"/>
      <c r="T81" s="24"/>
      <c r="U81" s="24"/>
      <c r="V81" s="24"/>
      <c r="W81" s="24"/>
      <c r="X81" s="24"/>
    </row>
    <row r="82">
      <c r="A82" s="24"/>
      <c r="B82" s="24"/>
      <c r="C82" s="24"/>
      <c r="D82" s="24"/>
      <c r="E82" s="24"/>
      <c r="F82" s="24"/>
      <c r="G82" s="24"/>
      <c r="H82" s="24"/>
      <c r="I82" s="24"/>
      <c r="J82" s="24"/>
      <c r="K82" s="24"/>
      <c r="L82" s="24"/>
      <c r="M82" s="24"/>
      <c r="N82" s="24"/>
      <c r="O82" s="24"/>
      <c r="P82" s="24"/>
      <c r="Q82" s="24"/>
      <c r="R82" s="24"/>
      <c r="S82" s="24"/>
      <c r="T82" s="24"/>
      <c r="U82" s="24"/>
      <c r="V82" s="24"/>
      <c r="W82" s="24"/>
      <c r="X82" s="24"/>
    </row>
    <row r="83">
      <c r="A83" s="24"/>
      <c r="B83" s="24"/>
      <c r="C83" s="24"/>
      <c r="D83" s="24"/>
      <c r="E83" s="24"/>
      <c r="F83" s="24"/>
      <c r="G83" s="24"/>
      <c r="H83" s="24"/>
      <c r="I83" s="24"/>
      <c r="J83" s="24"/>
      <c r="K83" s="24"/>
      <c r="L83" s="24"/>
      <c r="M83" s="24"/>
      <c r="N83" s="24"/>
      <c r="O83" s="24"/>
      <c r="P83" s="24"/>
      <c r="Q83" s="24"/>
      <c r="R83" s="24"/>
      <c r="S83" s="24"/>
      <c r="T83" s="24"/>
      <c r="U83" s="24"/>
      <c r="V83" s="24"/>
      <c r="W83" s="24"/>
      <c r="X83" s="24"/>
    </row>
    <row r="84">
      <c r="A84" s="24"/>
      <c r="B84" s="24"/>
      <c r="C84" s="24"/>
      <c r="D84" s="24"/>
      <c r="E84" s="24"/>
      <c r="F84" s="24"/>
      <c r="G84" s="24"/>
      <c r="H84" s="24"/>
      <c r="I84" s="24"/>
      <c r="J84" s="24"/>
      <c r="K84" s="24"/>
      <c r="L84" s="24"/>
      <c r="M84" s="24"/>
      <c r="N84" s="24"/>
      <c r="O84" s="24"/>
      <c r="P84" s="24"/>
      <c r="Q84" s="24"/>
      <c r="R84" s="24"/>
      <c r="S84" s="24"/>
      <c r="T84" s="24"/>
      <c r="U84" s="24"/>
      <c r="V84" s="24"/>
      <c r="W84" s="24"/>
      <c r="X84" s="24"/>
    </row>
    <row r="85">
      <c r="A85" s="24"/>
      <c r="B85" s="24"/>
      <c r="C85" s="24"/>
      <c r="D85" s="24"/>
      <c r="E85" s="24"/>
      <c r="F85" s="24"/>
      <c r="G85" s="24"/>
      <c r="H85" s="24"/>
      <c r="I85" s="24"/>
      <c r="J85" s="24"/>
      <c r="K85" s="24"/>
      <c r="L85" s="24"/>
      <c r="M85" s="24"/>
      <c r="N85" s="24"/>
      <c r="O85" s="24"/>
      <c r="P85" s="24"/>
      <c r="Q85" s="24"/>
      <c r="R85" s="24"/>
      <c r="S85" s="24"/>
      <c r="T85" s="24"/>
      <c r="U85" s="24"/>
      <c r="V85" s="24"/>
      <c r="W85" s="24"/>
      <c r="X85" s="24"/>
    </row>
    <row r="86">
      <c r="A86" s="24"/>
      <c r="B86" s="24"/>
      <c r="C86" s="24"/>
      <c r="D86" s="24"/>
      <c r="E86" s="24"/>
      <c r="F86" s="24"/>
      <c r="G86" s="24"/>
      <c r="H86" s="24"/>
      <c r="I86" s="24"/>
      <c r="J86" s="24"/>
      <c r="K86" s="24"/>
      <c r="L86" s="24"/>
      <c r="M86" s="24"/>
      <c r="N86" s="24"/>
      <c r="O86" s="24"/>
      <c r="P86" s="24"/>
      <c r="Q86" s="24"/>
      <c r="R86" s="24"/>
      <c r="S86" s="24"/>
      <c r="T86" s="24"/>
      <c r="U86" s="24"/>
      <c r="V86" s="24"/>
      <c r="W86" s="24"/>
      <c r="X86" s="24"/>
    </row>
    <row r="87">
      <c r="A87" s="24"/>
      <c r="B87" s="24"/>
      <c r="C87" s="24"/>
      <c r="D87" s="24"/>
      <c r="E87" s="24"/>
      <c r="F87" s="24"/>
      <c r="G87" s="24"/>
      <c r="H87" s="24"/>
      <c r="I87" s="24"/>
      <c r="J87" s="24"/>
      <c r="K87" s="24"/>
      <c r="L87" s="24"/>
      <c r="M87" s="24"/>
      <c r="N87" s="24"/>
      <c r="O87" s="24"/>
      <c r="P87" s="24"/>
      <c r="Q87" s="24"/>
      <c r="R87" s="24"/>
      <c r="S87" s="24"/>
      <c r="T87" s="24"/>
      <c r="U87" s="24"/>
      <c r="V87" s="24"/>
      <c r="W87" s="24"/>
      <c r="X87" s="24"/>
    </row>
    <row r="88">
      <c r="A88" s="24"/>
      <c r="B88" s="24"/>
      <c r="C88" s="24"/>
      <c r="D88" s="24"/>
      <c r="E88" s="24"/>
      <c r="F88" s="24"/>
      <c r="G88" s="24"/>
      <c r="H88" s="24"/>
      <c r="I88" s="24"/>
      <c r="J88" s="24"/>
      <c r="K88" s="24"/>
      <c r="L88" s="24"/>
      <c r="M88" s="24"/>
      <c r="N88" s="24"/>
      <c r="O88" s="24"/>
      <c r="P88" s="24"/>
      <c r="Q88" s="24"/>
      <c r="R88" s="24"/>
      <c r="S88" s="24"/>
      <c r="T88" s="24"/>
      <c r="U88" s="24"/>
      <c r="V88" s="24"/>
      <c r="W88" s="24"/>
      <c r="X88" s="24"/>
    </row>
    <row r="89">
      <c r="A89" s="24"/>
      <c r="B89" s="24"/>
      <c r="C89" s="24"/>
      <c r="D89" s="24"/>
      <c r="E89" s="24"/>
      <c r="F89" s="24"/>
      <c r="G89" s="24"/>
      <c r="H89" s="24"/>
      <c r="I89" s="24"/>
      <c r="J89" s="24"/>
      <c r="K89" s="24"/>
      <c r="L89" s="24"/>
      <c r="M89" s="24"/>
      <c r="N89" s="24"/>
      <c r="O89" s="24"/>
      <c r="P89" s="24"/>
      <c r="Q89" s="24"/>
      <c r="R89" s="24"/>
      <c r="S89" s="24"/>
      <c r="T89" s="24"/>
      <c r="U89" s="24"/>
      <c r="V89" s="24"/>
      <c r="W89" s="24"/>
      <c r="X89" s="24"/>
    </row>
    <row r="90">
      <c r="A90" s="24"/>
      <c r="B90" s="24"/>
      <c r="C90" s="24"/>
      <c r="D90" s="24"/>
      <c r="E90" s="24"/>
      <c r="F90" s="24"/>
      <c r="G90" s="24"/>
      <c r="H90" s="24"/>
      <c r="I90" s="24"/>
      <c r="J90" s="24"/>
      <c r="K90" s="24"/>
      <c r="L90" s="24"/>
      <c r="M90" s="24"/>
      <c r="N90" s="24"/>
      <c r="O90" s="24"/>
      <c r="P90" s="24"/>
      <c r="Q90" s="24"/>
      <c r="R90" s="24"/>
      <c r="S90" s="24"/>
      <c r="T90" s="24"/>
      <c r="U90" s="24"/>
      <c r="V90" s="24"/>
      <c r="W90" s="24"/>
      <c r="X90" s="24"/>
    </row>
    <row r="91">
      <c r="A91" s="24"/>
      <c r="B91" s="24"/>
      <c r="C91" s="24"/>
      <c r="D91" s="24"/>
      <c r="E91" s="24"/>
      <c r="F91" s="24"/>
      <c r="G91" s="24"/>
      <c r="H91" s="24"/>
      <c r="I91" s="24"/>
      <c r="J91" s="24"/>
      <c r="K91" s="24"/>
      <c r="L91" s="24"/>
      <c r="M91" s="24"/>
      <c r="N91" s="24"/>
      <c r="O91" s="24"/>
      <c r="P91" s="24"/>
      <c r="Q91" s="24"/>
      <c r="R91" s="24"/>
      <c r="S91" s="24"/>
      <c r="T91" s="24"/>
      <c r="U91" s="24"/>
      <c r="V91" s="24"/>
      <c r="W91" s="24"/>
      <c r="X91" s="24"/>
    </row>
    <row r="92">
      <c r="A92" s="24"/>
      <c r="B92" s="24"/>
      <c r="C92" s="24"/>
      <c r="D92" s="24"/>
      <c r="E92" s="24"/>
      <c r="F92" s="24"/>
      <c r="G92" s="24"/>
      <c r="H92" s="24"/>
      <c r="I92" s="24"/>
      <c r="J92" s="24"/>
      <c r="K92" s="24"/>
      <c r="L92" s="24"/>
      <c r="M92" s="24"/>
      <c r="N92" s="24"/>
      <c r="O92" s="24"/>
      <c r="P92" s="24"/>
      <c r="Q92" s="24"/>
      <c r="R92" s="24"/>
      <c r="S92" s="24"/>
      <c r="T92" s="24"/>
      <c r="U92" s="24"/>
      <c r="V92" s="24"/>
      <c r="W92" s="24"/>
      <c r="X92" s="24"/>
    </row>
    <row r="93">
      <c r="A93" s="24"/>
      <c r="B93" s="24"/>
      <c r="C93" s="24"/>
      <c r="D93" s="24"/>
      <c r="E93" s="24"/>
      <c r="F93" s="24"/>
      <c r="G93" s="24"/>
      <c r="H93" s="24"/>
      <c r="I93" s="24"/>
      <c r="J93" s="24"/>
      <c r="K93" s="24"/>
      <c r="L93" s="24"/>
      <c r="M93" s="24"/>
      <c r="N93" s="24"/>
      <c r="O93" s="24"/>
      <c r="P93" s="24"/>
      <c r="Q93" s="24"/>
      <c r="R93" s="24"/>
      <c r="S93" s="24"/>
      <c r="T93" s="24"/>
      <c r="U93" s="24"/>
      <c r="V93" s="24"/>
      <c r="W93" s="24"/>
      <c r="X93" s="24"/>
    </row>
    <row r="94">
      <c r="A94" s="24"/>
      <c r="B94" s="24"/>
      <c r="C94" s="24"/>
      <c r="D94" s="24"/>
      <c r="E94" s="24"/>
      <c r="F94" s="24"/>
      <c r="G94" s="24"/>
      <c r="H94" s="24"/>
      <c r="I94" s="24"/>
      <c r="J94" s="24"/>
      <c r="K94" s="24"/>
      <c r="L94" s="24"/>
      <c r="M94" s="24"/>
      <c r="N94" s="24"/>
      <c r="O94" s="24"/>
      <c r="P94" s="24"/>
      <c r="Q94" s="24"/>
      <c r="R94" s="24"/>
      <c r="S94" s="24"/>
      <c r="T94" s="24"/>
      <c r="U94" s="24"/>
      <c r="V94" s="24"/>
      <c r="W94" s="24"/>
      <c r="X94" s="24"/>
    </row>
    <row r="95">
      <c r="A95" s="24"/>
      <c r="B95" s="24"/>
      <c r="C95" s="24"/>
      <c r="D95" s="24"/>
      <c r="E95" s="24"/>
      <c r="F95" s="24"/>
      <c r="G95" s="24"/>
      <c r="H95" s="24"/>
      <c r="I95" s="24"/>
      <c r="J95" s="24"/>
      <c r="K95" s="24"/>
      <c r="L95" s="24"/>
      <c r="M95" s="24"/>
      <c r="N95" s="24"/>
      <c r="O95" s="24"/>
      <c r="P95" s="24"/>
      <c r="Q95" s="24"/>
      <c r="R95" s="24"/>
      <c r="S95" s="24"/>
      <c r="T95" s="24"/>
      <c r="U95" s="24"/>
      <c r="V95" s="24"/>
      <c r="W95" s="24"/>
      <c r="X95" s="24"/>
    </row>
    <row r="96">
      <c r="A96" s="24"/>
      <c r="B96" s="24"/>
      <c r="C96" s="24"/>
      <c r="D96" s="24"/>
      <c r="E96" s="24"/>
      <c r="F96" s="24"/>
      <c r="G96" s="24"/>
      <c r="H96" s="24"/>
      <c r="I96" s="24"/>
      <c r="J96" s="24"/>
      <c r="K96" s="24"/>
      <c r="L96" s="24"/>
      <c r="M96" s="24"/>
      <c r="N96" s="24"/>
      <c r="O96" s="24"/>
      <c r="P96" s="24"/>
      <c r="Q96" s="24"/>
      <c r="R96" s="24"/>
      <c r="S96" s="24"/>
      <c r="T96" s="24"/>
      <c r="U96" s="24"/>
      <c r="V96" s="24"/>
      <c r="W96" s="24"/>
      <c r="X96" s="24"/>
    </row>
    <row r="97">
      <c r="A97" s="24"/>
      <c r="B97" s="24"/>
      <c r="C97" s="24"/>
      <c r="D97" s="24"/>
      <c r="E97" s="24"/>
      <c r="F97" s="24"/>
      <c r="G97" s="24"/>
      <c r="H97" s="24"/>
      <c r="I97" s="24"/>
      <c r="J97" s="24"/>
      <c r="K97" s="24"/>
      <c r="L97" s="24"/>
      <c r="M97" s="24"/>
      <c r="N97" s="24"/>
      <c r="O97" s="24"/>
      <c r="P97" s="24"/>
      <c r="Q97" s="24"/>
      <c r="R97" s="24"/>
      <c r="S97" s="24"/>
      <c r="T97" s="24"/>
      <c r="U97" s="24"/>
      <c r="V97" s="24"/>
      <c r="W97" s="24"/>
      <c r="X97" s="24"/>
    </row>
    <row r="98">
      <c r="A98" s="24"/>
      <c r="B98" s="24"/>
      <c r="C98" s="24"/>
      <c r="D98" s="24"/>
      <c r="E98" s="24"/>
      <c r="F98" s="24"/>
      <c r="G98" s="24"/>
      <c r="H98" s="24"/>
      <c r="I98" s="24"/>
      <c r="J98" s="24"/>
      <c r="K98" s="24"/>
      <c r="L98" s="24"/>
      <c r="M98" s="24"/>
      <c r="N98" s="24"/>
      <c r="O98" s="24"/>
      <c r="P98" s="24"/>
      <c r="Q98" s="24"/>
      <c r="R98" s="24"/>
      <c r="S98" s="24"/>
      <c r="T98" s="24"/>
      <c r="U98" s="24"/>
      <c r="V98" s="24"/>
      <c r="W98" s="24"/>
      <c r="X98" s="24"/>
    </row>
    <row r="99">
      <c r="A99" s="24"/>
      <c r="B99" s="24"/>
      <c r="C99" s="24"/>
      <c r="D99" s="24"/>
      <c r="E99" s="24"/>
      <c r="F99" s="24"/>
      <c r="G99" s="24"/>
      <c r="H99" s="24"/>
      <c r="I99" s="24"/>
      <c r="J99" s="24"/>
      <c r="K99" s="24"/>
      <c r="L99" s="24"/>
      <c r="M99" s="24"/>
      <c r="N99" s="24"/>
      <c r="O99" s="24"/>
      <c r="P99" s="24"/>
      <c r="Q99" s="24"/>
      <c r="R99" s="24"/>
      <c r="S99" s="24"/>
      <c r="T99" s="24"/>
      <c r="U99" s="24"/>
      <c r="V99" s="24"/>
      <c r="W99" s="24"/>
      <c r="X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row>
    <row r="97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row>
    <row r="979">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row>
  </sheetData>
  <mergeCells count="18">
    <mergeCell ref="B1:D2"/>
    <mergeCell ref="B3:D3"/>
    <mergeCell ref="B4:D4"/>
    <mergeCell ref="B5:D5"/>
    <mergeCell ref="A9:A10"/>
    <mergeCell ref="B9:B10"/>
    <mergeCell ref="C9:C10"/>
    <mergeCell ref="D13:F13"/>
    <mergeCell ref="D14:F14"/>
    <mergeCell ref="D15:F15"/>
    <mergeCell ref="D16:F16"/>
    <mergeCell ref="D9:F10"/>
    <mergeCell ref="G9:G10"/>
    <mergeCell ref="H9:H10"/>
    <mergeCell ref="I9:I10"/>
    <mergeCell ref="J9:J10"/>
    <mergeCell ref="B11:J11"/>
    <mergeCell ref="D12:F12"/>
  </mergeCells>
  <hyperlinks>
    <hyperlink r:id="rId1" ref="G12"/>
    <hyperlink r:id="rId2" ref="G13"/>
    <hyperlink r:id="rId3" ref="G14"/>
    <hyperlink r:id="rId4" ref="G15"/>
    <hyperlink r:id="rId5" ref="G16"/>
  </hyperlinks>
  <drawing r:id="rId6"/>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75"/>
    <col customWidth="1" min="2" max="2" width="22.13"/>
    <col customWidth="1" min="3" max="3" width="43.5"/>
    <col customWidth="1" min="6" max="6" width="19.0"/>
    <col customWidth="1" min="7" max="7" width="22.63"/>
    <col customWidth="1" min="8" max="8" width="20.13"/>
    <col customWidth="1" min="9" max="9" width="15.5"/>
    <col customWidth="1" min="10" max="10" width="21.38"/>
  </cols>
  <sheetData>
    <row r="1">
      <c r="A1" s="11" t="s">
        <v>3</v>
      </c>
      <c r="B1" s="18"/>
      <c r="E1" s="18"/>
      <c r="F1" s="18"/>
      <c r="G1" s="18"/>
      <c r="H1" s="18"/>
      <c r="I1" s="18"/>
      <c r="J1" s="18"/>
      <c r="K1" s="24"/>
      <c r="L1" s="24"/>
      <c r="M1" s="24"/>
      <c r="N1" s="24"/>
      <c r="O1" s="24"/>
      <c r="P1" s="24"/>
      <c r="Q1" s="24"/>
      <c r="R1" s="24"/>
      <c r="S1" s="24"/>
      <c r="T1" s="24"/>
      <c r="U1" s="24"/>
      <c r="V1" s="24"/>
      <c r="W1" s="24"/>
      <c r="X1" s="24"/>
    </row>
    <row r="2">
      <c r="A2" s="18"/>
      <c r="B2" s="44"/>
      <c r="C2" s="44"/>
      <c r="D2" s="44"/>
      <c r="E2" s="18"/>
      <c r="F2" s="18"/>
      <c r="G2" s="18"/>
      <c r="H2" s="18"/>
      <c r="I2" s="18"/>
      <c r="J2" s="18"/>
      <c r="K2" s="24"/>
      <c r="L2" s="24"/>
      <c r="M2" s="24"/>
      <c r="N2" s="24"/>
      <c r="O2" s="24"/>
      <c r="P2" s="24"/>
      <c r="Q2" s="24"/>
      <c r="R2" s="24"/>
      <c r="S2" s="24"/>
      <c r="T2" s="24"/>
      <c r="U2" s="24"/>
      <c r="V2" s="24"/>
      <c r="W2" s="24"/>
      <c r="X2" s="24"/>
    </row>
    <row r="3">
      <c r="A3" s="56" t="s">
        <v>60</v>
      </c>
      <c r="B3" s="58" t="s">
        <v>63</v>
      </c>
      <c r="C3" s="59"/>
      <c r="D3" s="60"/>
      <c r="E3" s="18"/>
      <c r="F3" s="18"/>
      <c r="G3" s="18"/>
      <c r="H3" s="18"/>
      <c r="I3" s="24"/>
      <c r="J3" s="24"/>
      <c r="K3" s="24"/>
      <c r="L3" s="24"/>
      <c r="M3" s="24"/>
      <c r="N3" s="24"/>
      <c r="O3" s="24"/>
      <c r="P3" s="24"/>
      <c r="Q3" s="24"/>
      <c r="R3" s="24"/>
      <c r="S3" s="24"/>
      <c r="T3" s="24"/>
      <c r="U3" s="24"/>
      <c r="V3" s="24"/>
      <c r="W3" s="24"/>
      <c r="X3" s="24"/>
    </row>
    <row r="4">
      <c r="A4" s="56" t="s">
        <v>69</v>
      </c>
      <c r="B4" s="61" t="s">
        <v>871</v>
      </c>
      <c r="C4" s="59"/>
      <c r="D4" s="60"/>
      <c r="E4" s="18"/>
      <c r="F4" s="18"/>
      <c r="G4" s="18"/>
      <c r="H4" s="18"/>
      <c r="I4" s="24"/>
      <c r="J4" s="24"/>
      <c r="K4" s="24"/>
      <c r="L4" s="24"/>
      <c r="M4" s="24"/>
      <c r="N4" s="24"/>
      <c r="O4" s="24"/>
      <c r="P4" s="24"/>
      <c r="Q4" s="24"/>
      <c r="R4" s="24"/>
      <c r="S4" s="24"/>
      <c r="T4" s="24"/>
      <c r="U4" s="24"/>
      <c r="V4" s="24"/>
      <c r="W4" s="24"/>
      <c r="X4" s="24"/>
    </row>
    <row r="5">
      <c r="A5" s="56" t="s">
        <v>83</v>
      </c>
      <c r="B5" s="58" t="s">
        <v>872</v>
      </c>
      <c r="C5" s="59"/>
      <c r="D5" s="60"/>
      <c r="E5" s="18"/>
      <c r="F5" s="18"/>
      <c r="G5" s="18"/>
      <c r="H5" s="18"/>
      <c r="I5" s="24"/>
      <c r="J5" s="24"/>
      <c r="K5" s="24"/>
      <c r="L5" s="24"/>
      <c r="M5" s="24"/>
      <c r="N5" s="24"/>
      <c r="O5" s="24"/>
      <c r="P5" s="24"/>
      <c r="Q5" s="24"/>
      <c r="R5" s="24"/>
      <c r="S5" s="24"/>
      <c r="T5" s="24"/>
      <c r="U5" s="24"/>
      <c r="V5" s="24"/>
      <c r="W5" s="24"/>
      <c r="X5" s="24"/>
    </row>
    <row r="6">
      <c r="A6" s="69" t="s">
        <v>23</v>
      </c>
      <c r="B6" s="70">
        <v>10.0</v>
      </c>
      <c r="C6" s="72" t="s">
        <v>25</v>
      </c>
      <c r="D6" s="73">
        <v>0.0</v>
      </c>
      <c r="E6" s="18"/>
      <c r="F6" s="18"/>
      <c r="G6" s="18"/>
      <c r="H6" s="18"/>
      <c r="I6" s="24"/>
      <c r="J6" s="24"/>
      <c r="K6" s="24"/>
      <c r="L6" s="24"/>
      <c r="M6" s="24"/>
      <c r="N6" s="24"/>
      <c r="O6" s="24"/>
      <c r="P6" s="24"/>
      <c r="Q6" s="24"/>
      <c r="R6" s="24"/>
      <c r="S6" s="24"/>
      <c r="T6" s="24"/>
      <c r="U6" s="24"/>
      <c r="V6" s="24"/>
      <c r="W6" s="24"/>
      <c r="X6" s="24"/>
    </row>
    <row r="7">
      <c r="A7" s="69" t="s">
        <v>24</v>
      </c>
      <c r="B7" s="70">
        <v>1.0</v>
      </c>
      <c r="C7" s="75" t="s">
        <v>99</v>
      </c>
      <c r="D7" s="73">
        <v>11.0</v>
      </c>
      <c r="E7" s="18"/>
      <c r="F7" s="18"/>
      <c r="G7" s="18"/>
      <c r="H7" s="18"/>
      <c r="I7" s="24"/>
      <c r="J7" s="24"/>
      <c r="K7" s="24"/>
      <c r="L7" s="24"/>
      <c r="M7" s="24"/>
      <c r="N7" s="24"/>
      <c r="O7" s="24"/>
      <c r="P7" s="24"/>
      <c r="Q7" s="24"/>
      <c r="R7" s="24"/>
      <c r="S7" s="24"/>
      <c r="T7" s="24"/>
      <c r="U7" s="24"/>
      <c r="V7" s="24"/>
      <c r="W7" s="24"/>
      <c r="X7" s="24"/>
    </row>
    <row r="8">
      <c r="A8" s="76"/>
      <c r="B8" s="77"/>
      <c r="C8" s="77"/>
      <c r="D8" s="77"/>
      <c r="E8" s="18"/>
      <c r="F8" s="18"/>
      <c r="G8" s="18"/>
      <c r="H8" s="18"/>
      <c r="I8" s="78"/>
      <c r="J8" s="78"/>
      <c r="K8" s="24"/>
      <c r="L8" s="24"/>
      <c r="M8" s="24"/>
      <c r="N8" s="24"/>
      <c r="O8" s="24"/>
      <c r="P8" s="24"/>
      <c r="Q8" s="24"/>
      <c r="R8" s="24"/>
      <c r="S8" s="24"/>
      <c r="T8" s="24"/>
      <c r="U8" s="24"/>
      <c r="V8" s="24"/>
      <c r="W8" s="24"/>
      <c r="X8" s="24"/>
    </row>
    <row r="9">
      <c r="A9" s="79" t="s">
        <v>101</v>
      </c>
      <c r="B9" s="80" t="s">
        <v>102</v>
      </c>
      <c r="C9" s="79" t="s">
        <v>103</v>
      </c>
      <c r="D9" s="81" t="s">
        <v>104</v>
      </c>
      <c r="G9" s="79" t="s">
        <v>106</v>
      </c>
      <c r="H9" s="82" t="s">
        <v>107</v>
      </c>
      <c r="I9" s="82" t="s">
        <v>109</v>
      </c>
      <c r="J9" s="82" t="s">
        <v>110</v>
      </c>
      <c r="K9" s="24"/>
      <c r="L9" s="24"/>
      <c r="M9" s="24"/>
      <c r="N9" s="24"/>
      <c r="O9" s="24"/>
      <c r="P9" s="24"/>
      <c r="Q9" s="24"/>
      <c r="R9" s="24"/>
      <c r="S9" s="24"/>
      <c r="T9" s="24"/>
      <c r="U9" s="24"/>
      <c r="V9" s="24"/>
      <c r="W9" s="24"/>
      <c r="X9" s="24"/>
    </row>
    <row r="10">
      <c r="A10" s="84"/>
      <c r="B10" s="84"/>
      <c r="C10" s="84"/>
      <c r="D10" s="85"/>
      <c r="E10" s="44"/>
      <c r="F10" s="44"/>
      <c r="G10" s="84"/>
      <c r="H10" s="84"/>
      <c r="I10" s="84"/>
      <c r="J10" s="84"/>
      <c r="K10" s="24"/>
      <c r="L10" s="24"/>
      <c r="M10" s="24"/>
      <c r="N10" s="24"/>
      <c r="O10" s="24"/>
      <c r="P10" s="24"/>
      <c r="Q10" s="24"/>
      <c r="R10" s="24"/>
      <c r="S10" s="24"/>
      <c r="T10" s="24"/>
      <c r="U10" s="24"/>
      <c r="V10" s="24"/>
      <c r="W10" s="24"/>
      <c r="X10" s="24"/>
    </row>
    <row r="11">
      <c r="A11" s="86"/>
      <c r="B11" s="138"/>
      <c r="C11" s="59"/>
      <c r="D11" s="59"/>
      <c r="E11" s="59"/>
      <c r="F11" s="59"/>
      <c r="G11" s="59"/>
      <c r="H11" s="59"/>
      <c r="I11" s="59"/>
      <c r="J11" s="60"/>
      <c r="K11" s="24"/>
      <c r="L11" s="24"/>
      <c r="M11" s="24"/>
      <c r="N11" s="24"/>
      <c r="O11" s="24"/>
      <c r="P11" s="24"/>
      <c r="Q11" s="24"/>
      <c r="R11" s="24"/>
      <c r="S11" s="24"/>
      <c r="T11" s="24"/>
      <c r="U11" s="24"/>
      <c r="V11" s="24"/>
      <c r="W11" s="24"/>
      <c r="X11" s="24"/>
    </row>
    <row r="12">
      <c r="A12" s="87" t="s">
        <v>873</v>
      </c>
      <c r="B12" s="59"/>
      <c r="C12" s="59"/>
      <c r="D12" s="59"/>
      <c r="E12" s="59"/>
      <c r="F12" s="59"/>
      <c r="G12" s="59"/>
      <c r="H12" s="59"/>
      <c r="I12" s="59"/>
      <c r="J12" s="60"/>
      <c r="K12" s="24"/>
      <c r="L12" s="24"/>
      <c r="M12" s="24"/>
      <c r="N12" s="24"/>
      <c r="O12" s="24"/>
      <c r="P12" s="24"/>
      <c r="Q12" s="24"/>
      <c r="R12" s="24"/>
      <c r="S12" s="24"/>
      <c r="T12" s="24"/>
      <c r="U12" s="24"/>
      <c r="V12" s="24"/>
      <c r="W12" s="24"/>
      <c r="X12" s="24"/>
    </row>
    <row r="13" ht="161.25" customHeight="1">
      <c r="A13" s="88" t="s">
        <v>874</v>
      </c>
      <c r="B13" s="90" t="s">
        <v>875</v>
      </c>
      <c r="C13" s="91" t="s">
        <v>876</v>
      </c>
      <c r="D13" s="93" t="s">
        <v>877</v>
      </c>
      <c r="E13" s="59"/>
      <c r="F13" s="59"/>
      <c r="G13" s="102" t="s">
        <v>878</v>
      </c>
      <c r="H13" s="103">
        <v>46255.0</v>
      </c>
      <c r="I13" s="88" t="s">
        <v>23</v>
      </c>
      <c r="J13" s="91" t="s">
        <v>879</v>
      </c>
      <c r="K13" s="24"/>
      <c r="L13" s="24"/>
      <c r="M13" s="24"/>
      <c r="N13" s="24"/>
      <c r="O13" s="24"/>
      <c r="P13" s="24"/>
      <c r="Q13" s="24"/>
      <c r="R13" s="24"/>
      <c r="S13" s="24"/>
      <c r="T13" s="24"/>
      <c r="U13" s="24"/>
      <c r="V13" s="24"/>
      <c r="W13" s="24"/>
      <c r="X13" s="24"/>
    </row>
    <row r="14" ht="15.0" customHeight="1">
      <c r="A14" s="87" t="s">
        <v>880</v>
      </c>
      <c r="B14" s="59"/>
      <c r="C14" s="59"/>
      <c r="D14" s="59"/>
      <c r="E14" s="59"/>
      <c r="F14" s="59"/>
      <c r="G14" s="59"/>
      <c r="H14" s="59"/>
      <c r="I14" s="59"/>
      <c r="J14" s="60"/>
      <c r="K14" s="24"/>
      <c r="L14" s="24"/>
      <c r="M14" s="24"/>
      <c r="N14" s="24"/>
      <c r="O14" s="24"/>
      <c r="P14" s="24"/>
      <c r="Q14" s="24"/>
      <c r="R14" s="24"/>
      <c r="S14" s="24"/>
      <c r="T14" s="24"/>
      <c r="U14" s="24"/>
      <c r="V14" s="24"/>
      <c r="W14" s="24"/>
      <c r="X14" s="24"/>
    </row>
    <row r="15" ht="141.75" customHeight="1">
      <c r="A15" s="88" t="s">
        <v>881</v>
      </c>
      <c r="B15" s="90" t="s">
        <v>882</v>
      </c>
      <c r="C15" s="91" t="s">
        <v>883</v>
      </c>
      <c r="D15" s="93" t="s">
        <v>884</v>
      </c>
      <c r="E15" s="59"/>
      <c r="F15" s="59"/>
      <c r="G15" s="102" t="s">
        <v>885</v>
      </c>
      <c r="H15" s="103">
        <v>46255.0</v>
      </c>
      <c r="I15" s="88" t="s">
        <v>23</v>
      </c>
      <c r="J15" s="91" t="s">
        <v>886</v>
      </c>
      <c r="K15" s="24"/>
      <c r="L15" s="24"/>
      <c r="M15" s="24"/>
      <c r="N15" s="24"/>
      <c r="O15" s="24"/>
      <c r="P15" s="24"/>
      <c r="Q15" s="24"/>
      <c r="R15" s="24"/>
      <c r="S15" s="24"/>
      <c r="T15" s="24"/>
      <c r="U15" s="24"/>
      <c r="V15" s="24"/>
      <c r="W15" s="24"/>
      <c r="X15" s="24"/>
    </row>
    <row r="16">
      <c r="A16" s="87" t="s">
        <v>887</v>
      </c>
      <c r="B16" s="59"/>
      <c r="C16" s="59"/>
      <c r="D16" s="59"/>
      <c r="E16" s="59"/>
      <c r="F16" s="59"/>
      <c r="G16" s="59"/>
      <c r="H16" s="59"/>
      <c r="I16" s="59"/>
      <c r="J16" s="60"/>
      <c r="K16" s="24"/>
      <c r="L16" s="24"/>
      <c r="M16" s="24"/>
      <c r="N16" s="24"/>
      <c r="O16" s="24"/>
      <c r="P16" s="24"/>
      <c r="Q16" s="24"/>
      <c r="R16" s="24"/>
      <c r="S16" s="24"/>
      <c r="T16" s="24"/>
      <c r="U16" s="24"/>
      <c r="V16" s="24"/>
      <c r="W16" s="24"/>
      <c r="X16" s="24"/>
    </row>
    <row r="17" ht="177.0" customHeight="1">
      <c r="A17" s="88" t="s">
        <v>888</v>
      </c>
      <c r="B17" s="90" t="s">
        <v>889</v>
      </c>
      <c r="C17" s="91" t="s">
        <v>890</v>
      </c>
      <c r="D17" s="93" t="s">
        <v>891</v>
      </c>
      <c r="E17" s="59"/>
      <c r="F17" s="59"/>
      <c r="G17" s="102" t="s">
        <v>892</v>
      </c>
      <c r="H17" s="103">
        <v>46255.0</v>
      </c>
      <c r="I17" s="88" t="s">
        <v>23</v>
      </c>
      <c r="J17" s="91" t="s">
        <v>893</v>
      </c>
      <c r="K17" s="24"/>
      <c r="L17" s="24"/>
      <c r="M17" s="24"/>
      <c r="N17" s="24"/>
      <c r="O17" s="24"/>
      <c r="P17" s="24"/>
      <c r="Q17" s="24"/>
      <c r="R17" s="24"/>
      <c r="S17" s="24"/>
      <c r="T17" s="24"/>
      <c r="U17" s="24"/>
      <c r="V17" s="24"/>
      <c r="W17" s="24"/>
      <c r="X17" s="24"/>
    </row>
    <row r="18">
      <c r="A18" s="87" t="s">
        <v>894</v>
      </c>
      <c r="B18" s="59"/>
      <c r="C18" s="59"/>
      <c r="D18" s="59"/>
      <c r="E18" s="59"/>
      <c r="F18" s="59"/>
      <c r="G18" s="59"/>
      <c r="H18" s="59"/>
      <c r="I18" s="59"/>
      <c r="J18" s="60"/>
      <c r="K18" s="24"/>
      <c r="L18" s="24"/>
      <c r="M18" s="24"/>
      <c r="N18" s="24"/>
      <c r="O18" s="24"/>
      <c r="P18" s="24"/>
      <c r="Q18" s="24"/>
      <c r="R18" s="24"/>
      <c r="S18" s="24"/>
      <c r="T18" s="24"/>
      <c r="U18" s="24"/>
      <c r="V18" s="24"/>
      <c r="W18" s="24"/>
      <c r="X18" s="24"/>
    </row>
    <row r="19" ht="141.75" customHeight="1">
      <c r="A19" s="88" t="s">
        <v>895</v>
      </c>
      <c r="B19" s="90" t="s">
        <v>896</v>
      </c>
      <c r="C19" s="91" t="s">
        <v>897</v>
      </c>
      <c r="D19" s="93" t="s">
        <v>898</v>
      </c>
      <c r="E19" s="59"/>
      <c r="F19" s="59"/>
      <c r="G19" s="102" t="s">
        <v>899</v>
      </c>
      <c r="H19" s="103">
        <v>46255.0</v>
      </c>
      <c r="I19" s="88" t="s">
        <v>23</v>
      </c>
      <c r="J19" s="91" t="s">
        <v>827</v>
      </c>
      <c r="K19" s="24"/>
      <c r="L19" s="24"/>
      <c r="M19" s="24"/>
      <c r="N19" s="24"/>
      <c r="O19" s="24"/>
      <c r="P19" s="24"/>
      <c r="Q19" s="24"/>
      <c r="R19" s="24"/>
      <c r="S19" s="24"/>
      <c r="T19" s="24"/>
      <c r="U19" s="24"/>
      <c r="V19" s="24"/>
      <c r="W19" s="24"/>
      <c r="X19" s="24"/>
    </row>
    <row r="20" ht="192.75" customHeight="1">
      <c r="A20" s="88" t="s">
        <v>900</v>
      </c>
      <c r="B20" s="90" t="s">
        <v>901</v>
      </c>
      <c r="C20" s="91" t="s">
        <v>902</v>
      </c>
      <c r="D20" s="93" t="s">
        <v>903</v>
      </c>
      <c r="E20" s="59"/>
      <c r="F20" s="59"/>
      <c r="G20" s="102" t="s">
        <v>904</v>
      </c>
      <c r="H20" s="103">
        <v>46255.0</v>
      </c>
      <c r="I20" s="88" t="s">
        <v>23</v>
      </c>
      <c r="J20" s="91" t="s">
        <v>827</v>
      </c>
      <c r="K20" s="24"/>
      <c r="L20" s="24"/>
      <c r="M20" s="24"/>
      <c r="N20" s="24"/>
      <c r="O20" s="24"/>
      <c r="P20" s="24"/>
      <c r="Q20" s="24"/>
      <c r="R20" s="24"/>
      <c r="S20" s="24"/>
      <c r="T20" s="24"/>
      <c r="U20" s="24"/>
      <c r="V20" s="24"/>
      <c r="W20" s="24"/>
      <c r="X20" s="24"/>
    </row>
    <row r="21" ht="192.75" customHeight="1">
      <c r="A21" s="88" t="s">
        <v>905</v>
      </c>
      <c r="B21" s="90" t="s">
        <v>906</v>
      </c>
      <c r="C21" s="91" t="s">
        <v>907</v>
      </c>
      <c r="D21" s="93" t="s">
        <v>908</v>
      </c>
      <c r="E21" s="59"/>
      <c r="F21" s="59"/>
      <c r="G21" s="102" t="s">
        <v>909</v>
      </c>
      <c r="H21" s="103">
        <v>46255.0</v>
      </c>
      <c r="I21" s="88" t="s">
        <v>23</v>
      </c>
      <c r="J21" s="91" t="s">
        <v>827</v>
      </c>
      <c r="K21" s="24"/>
      <c r="L21" s="24"/>
      <c r="M21" s="24"/>
      <c r="N21" s="24"/>
      <c r="O21" s="24"/>
      <c r="P21" s="24"/>
      <c r="Q21" s="24"/>
      <c r="R21" s="24"/>
      <c r="S21" s="24"/>
      <c r="T21" s="24"/>
      <c r="U21" s="24"/>
      <c r="V21" s="24"/>
      <c r="W21" s="24"/>
      <c r="X21" s="24"/>
    </row>
    <row r="22" ht="14.25" customHeight="1">
      <c r="A22" s="87" t="s">
        <v>910</v>
      </c>
      <c r="B22" s="59"/>
      <c r="C22" s="59"/>
      <c r="D22" s="59"/>
      <c r="E22" s="59"/>
      <c r="F22" s="59"/>
      <c r="G22" s="59"/>
      <c r="H22" s="59"/>
      <c r="I22" s="59"/>
      <c r="J22" s="60"/>
      <c r="K22" s="24"/>
      <c r="L22" s="24"/>
      <c r="M22" s="24"/>
      <c r="N22" s="24"/>
      <c r="O22" s="24"/>
      <c r="P22" s="24"/>
      <c r="Q22" s="24"/>
      <c r="R22" s="24"/>
      <c r="S22" s="24"/>
      <c r="T22" s="24"/>
      <c r="U22" s="24"/>
      <c r="V22" s="24"/>
      <c r="W22" s="24"/>
      <c r="X22" s="24"/>
    </row>
    <row r="23" ht="175.5" customHeight="1">
      <c r="A23" s="88" t="s">
        <v>911</v>
      </c>
      <c r="B23" s="90" t="s">
        <v>912</v>
      </c>
      <c r="C23" s="91" t="s">
        <v>913</v>
      </c>
      <c r="D23" s="93" t="s">
        <v>914</v>
      </c>
      <c r="E23" s="59"/>
      <c r="F23" s="59"/>
      <c r="G23" s="102" t="s">
        <v>915</v>
      </c>
      <c r="H23" s="103">
        <v>46255.0</v>
      </c>
      <c r="I23" s="88" t="s">
        <v>23</v>
      </c>
      <c r="J23" s="91" t="s">
        <v>916</v>
      </c>
      <c r="K23" s="24"/>
      <c r="L23" s="24"/>
      <c r="M23" s="24"/>
      <c r="N23" s="24"/>
      <c r="O23" s="24"/>
      <c r="P23" s="24"/>
      <c r="Q23" s="24"/>
      <c r="R23" s="24"/>
      <c r="S23" s="24"/>
      <c r="T23" s="24"/>
      <c r="U23" s="24"/>
      <c r="V23" s="24"/>
      <c r="W23" s="24"/>
      <c r="X23" s="24"/>
    </row>
    <row r="24">
      <c r="A24" s="88" t="s">
        <v>917</v>
      </c>
      <c r="B24" s="90" t="s">
        <v>918</v>
      </c>
      <c r="C24" s="91" t="s">
        <v>919</v>
      </c>
      <c r="D24" s="93" t="s">
        <v>920</v>
      </c>
      <c r="E24" s="59"/>
      <c r="F24" s="59"/>
      <c r="G24" s="130" t="s">
        <v>921</v>
      </c>
      <c r="H24" s="103">
        <v>46255.0</v>
      </c>
      <c r="I24" s="88" t="s">
        <v>23</v>
      </c>
      <c r="J24" s="91" t="s">
        <v>922</v>
      </c>
      <c r="K24" s="24"/>
      <c r="L24" s="24"/>
      <c r="M24" s="24"/>
      <c r="N24" s="24"/>
      <c r="O24" s="24"/>
      <c r="P24" s="24"/>
      <c r="Q24" s="24"/>
      <c r="R24" s="24"/>
      <c r="S24" s="24"/>
      <c r="T24" s="24"/>
      <c r="U24" s="24"/>
      <c r="V24" s="24"/>
      <c r="W24" s="24"/>
      <c r="X24" s="24"/>
    </row>
    <row r="25" ht="165.0" customHeight="1">
      <c r="A25" s="88" t="s">
        <v>923</v>
      </c>
      <c r="B25" s="90" t="s">
        <v>924</v>
      </c>
      <c r="C25" s="91" t="s">
        <v>925</v>
      </c>
      <c r="D25" s="93" t="s">
        <v>926</v>
      </c>
      <c r="E25" s="59"/>
      <c r="F25" s="59"/>
      <c r="G25" s="102" t="s">
        <v>927</v>
      </c>
      <c r="H25" s="103">
        <v>46255.0</v>
      </c>
      <c r="I25" s="88" t="s">
        <v>23</v>
      </c>
      <c r="J25" s="91" t="s">
        <v>928</v>
      </c>
      <c r="K25" s="24"/>
      <c r="L25" s="24"/>
      <c r="M25" s="24"/>
      <c r="N25" s="24"/>
      <c r="O25" s="24"/>
      <c r="P25" s="24"/>
      <c r="Q25" s="24"/>
      <c r="R25" s="24"/>
      <c r="S25" s="24"/>
      <c r="T25" s="24"/>
      <c r="U25" s="24"/>
      <c r="V25" s="24"/>
      <c r="W25" s="24"/>
      <c r="X25" s="24"/>
    </row>
    <row r="26" ht="165.0" customHeight="1">
      <c r="A26" s="88" t="s">
        <v>929</v>
      </c>
      <c r="B26" s="90" t="s">
        <v>930</v>
      </c>
      <c r="C26" s="91" t="s">
        <v>931</v>
      </c>
      <c r="D26" s="93" t="s">
        <v>932</v>
      </c>
      <c r="E26" s="59"/>
      <c r="F26" s="59"/>
      <c r="G26" s="102" t="s">
        <v>933</v>
      </c>
      <c r="H26" s="103">
        <v>46255.0</v>
      </c>
      <c r="I26" s="88" t="s">
        <v>24</v>
      </c>
      <c r="J26" s="91" t="s">
        <v>934</v>
      </c>
      <c r="K26" s="24"/>
      <c r="L26" s="24"/>
      <c r="M26" s="24"/>
      <c r="N26" s="24"/>
      <c r="O26" s="24"/>
      <c r="P26" s="24"/>
      <c r="Q26" s="24"/>
      <c r="R26" s="24"/>
      <c r="S26" s="24"/>
      <c r="T26" s="24"/>
      <c r="U26" s="24"/>
      <c r="V26" s="24"/>
      <c r="W26" s="24"/>
      <c r="X26" s="24"/>
    </row>
    <row r="27">
      <c r="A27" s="87" t="s">
        <v>935</v>
      </c>
      <c r="B27" s="59"/>
      <c r="C27" s="59"/>
      <c r="D27" s="59"/>
      <c r="E27" s="59"/>
      <c r="F27" s="59"/>
      <c r="G27" s="59"/>
      <c r="H27" s="59"/>
      <c r="I27" s="59"/>
      <c r="J27" s="60"/>
      <c r="K27" s="136"/>
      <c r="X27" s="24"/>
    </row>
    <row r="28" ht="165.0" customHeight="1">
      <c r="A28" s="88" t="s">
        <v>936</v>
      </c>
      <c r="B28" s="90" t="s">
        <v>937</v>
      </c>
      <c r="C28" s="91" t="s">
        <v>938</v>
      </c>
      <c r="D28" s="93" t="s">
        <v>939</v>
      </c>
      <c r="E28" s="59"/>
      <c r="F28" s="59"/>
      <c r="G28" s="102" t="s">
        <v>940</v>
      </c>
      <c r="H28" s="103">
        <v>46255.0</v>
      </c>
      <c r="I28" s="88" t="s">
        <v>23</v>
      </c>
      <c r="J28" s="91" t="s">
        <v>941</v>
      </c>
      <c r="K28" s="24"/>
      <c r="L28" s="24"/>
      <c r="M28" s="24"/>
      <c r="N28" s="24"/>
      <c r="O28" s="24"/>
      <c r="P28" s="24"/>
      <c r="Q28" s="24"/>
      <c r="R28" s="24"/>
      <c r="S28" s="24"/>
      <c r="T28" s="24"/>
      <c r="U28" s="24"/>
      <c r="V28" s="24"/>
      <c r="W28" s="24"/>
      <c r="X28" s="24"/>
    </row>
    <row r="29">
      <c r="A29" s="24"/>
      <c r="B29" s="24"/>
      <c r="C29" s="24"/>
      <c r="D29" s="24"/>
      <c r="E29" s="24"/>
      <c r="F29" s="24"/>
      <c r="G29" s="24"/>
      <c r="H29" s="24"/>
      <c r="I29" s="24"/>
      <c r="J29" s="24"/>
      <c r="K29" s="24"/>
      <c r="L29" s="24"/>
      <c r="M29" s="24"/>
      <c r="N29" s="24"/>
      <c r="O29" s="24"/>
      <c r="P29" s="24"/>
      <c r="Q29" s="24"/>
      <c r="R29" s="24"/>
      <c r="S29" s="24"/>
      <c r="T29" s="24"/>
      <c r="U29" s="24"/>
      <c r="V29" s="24"/>
      <c r="W29" s="24"/>
      <c r="X29" s="24"/>
    </row>
    <row r="30">
      <c r="A30" s="24"/>
      <c r="B30" s="24"/>
      <c r="C30" s="24"/>
      <c r="D30" s="24"/>
      <c r="E30" s="24"/>
      <c r="F30" s="24"/>
      <c r="G30" s="24"/>
      <c r="H30" s="24"/>
      <c r="I30" s="24"/>
      <c r="J30" s="24"/>
      <c r="K30" s="24"/>
      <c r="L30" s="24"/>
      <c r="M30" s="24"/>
      <c r="N30" s="24"/>
      <c r="O30" s="24"/>
      <c r="P30" s="24"/>
      <c r="Q30" s="24"/>
      <c r="R30" s="24"/>
      <c r="S30" s="24"/>
      <c r="T30" s="24"/>
      <c r="U30" s="24"/>
      <c r="V30" s="24"/>
      <c r="W30" s="24"/>
      <c r="X30" s="24"/>
    </row>
    <row r="31">
      <c r="A31" s="24"/>
      <c r="B31" s="24"/>
      <c r="C31" s="24"/>
      <c r="D31" s="24"/>
      <c r="E31" s="24"/>
      <c r="F31" s="24"/>
      <c r="G31" s="24"/>
      <c r="H31" s="24"/>
      <c r="I31" s="24"/>
      <c r="J31" s="24"/>
      <c r="K31" s="24"/>
      <c r="L31" s="24"/>
      <c r="M31" s="24"/>
      <c r="N31" s="24"/>
      <c r="O31" s="24"/>
      <c r="P31" s="24"/>
      <c r="Q31" s="24"/>
      <c r="R31" s="24"/>
      <c r="S31" s="24"/>
      <c r="T31" s="24"/>
      <c r="U31" s="24"/>
      <c r="V31" s="24"/>
      <c r="W31" s="24"/>
      <c r="X31" s="24"/>
    </row>
    <row r="32">
      <c r="A32" s="24"/>
      <c r="B32" s="24"/>
      <c r="C32" s="24"/>
      <c r="D32" s="24"/>
      <c r="E32" s="24"/>
      <c r="F32" s="24"/>
      <c r="G32" s="24"/>
      <c r="H32" s="24"/>
      <c r="I32" s="24"/>
      <c r="J32" s="24"/>
      <c r="K32" s="24"/>
      <c r="L32" s="24"/>
      <c r="M32" s="24"/>
      <c r="N32" s="24"/>
      <c r="O32" s="24"/>
      <c r="P32" s="24"/>
      <c r="Q32" s="24"/>
      <c r="R32" s="24"/>
      <c r="S32" s="24"/>
      <c r="T32" s="24"/>
      <c r="U32" s="24"/>
      <c r="V32" s="24"/>
      <c r="W32" s="24"/>
      <c r="X32" s="24"/>
    </row>
    <row r="33">
      <c r="A33" s="24"/>
      <c r="B33" s="24"/>
      <c r="C33" s="24"/>
      <c r="D33" s="24"/>
      <c r="E33" s="24"/>
      <c r="F33" s="24"/>
      <c r="G33" s="24"/>
      <c r="H33" s="24"/>
      <c r="I33" s="24"/>
      <c r="J33" s="24"/>
      <c r="K33" s="24"/>
      <c r="L33" s="24"/>
      <c r="M33" s="24"/>
      <c r="N33" s="24"/>
      <c r="O33" s="24"/>
      <c r="P33" s="24"/>
      <c r="Q33" s="24"/>
      <c r="R33" s="24"/>
      <c r="S33" s="24"/>
      <c r="T33" s="24"/>
      <c r="U33" s="24"/>
      <c r="V33" s="24"/>
      <c r="W33" s="24"/>
      <c r="X33" s="24"/>
    </row>
    <row r="34">
      <c r="A34" s="24"/>
      <c r="B34" s="24"/>
      <c r="C34" s="24"/>
      <c r="D34" s="24"/>
      <c r="E34" s="24"/>
      <c r="F34" s="24"/>
      <c r="G34" s="24"/>
      <c r="H34" s="24"/>
      <c r="I34" s="24"/>
      <c r="J34" s="24"/>
      <c r="K34" s="24"/>
      <c r="L34" s="24"/>
      <c r="M34" s="24"/>
      <c r="N34" s="24"/>
      <c r="O34" s="24"/>
      <c r="P34" s="24"/>
      <c r="Q34" s="24"/>
      <c r="R34" s="24"/>
      <c r="S34" s="24"/>
      <c r="T34" s="24"/>
      <c r="U34" s="24"/>
      <c r="V34" s="24"/>
      <c r="W34" s="24"/>
      <c r="X34" s="24"/>
    </row>
    <row r="35">
      <c r="A35" s="24"/>
      <c r="B35" s="24"/>
      <c r="C35" s="24"/>
      <c r="D35" s="24"/>
      <c r="E35" s="24"/>
      <c r="F35" s="24"/>
      <c r="G35" s="24"/>
      <c r="H35" s="24"/>
      <c r="I35" s="24"/>
      <c r="J35" s="24"/>
      <c r="K35" s="24"/>
      <c r="L35" s="24"/>
      <c r="M35" s="24"/>
      <c r="N35" s="24"/>
      <c r="O35" s="24"/>
      <c r="P35" s="24"/>
      <c r="Q35" s="24"/>
      <c r="R35" s="24"/>
      <c r="S35" s="24"/>
      <c r="T35" s="24"/>
      <c r="U35" s="24"/>
      <c r="V35" s="24"/>
      <c r="W35" s="24"/>
      <c r="X35" s="24"/>
    </row>
    <row r="36">
      <c r="A36" s="24"/>
      <c r="B36" s="24"/>
      <c r="C36" s="24"/>
      <c r="D36" s="24"/>
      <c r="E36" s="24"/>
      <c r="F36" s="24"/>
      <c r="G36" s="24"/>
      <c r="H36" s="24"/>
      <c r="I36" s="24"/>
      <c r="J36" s="24"/>
      <c r="K36" s="24"/>
      <c r="L36" s="24"/>
      <c r="M36" s="24"/>
      <c r="N36" s="24"/>
      <c r="O36" s="24"/>
      <c r="P36" s="24"/>
      <c r="Q36" s="24"/>
      <c r="R36" s="24"/>
      <c r="S36" s="24"/>
      <c r="T36" s="24"/>
      <c r="U36" s="24"/>
      <c r="V36" s="24"/>
      <c r="W36" s="24"/>
      <c r="X36" s="24"/>
    </row>
    <row r="37">
      <c r="A37" s="24"/>
      <c r="B37" s="24"/>
      <c r="C37" s="24"/>
      <c r="D37" s="24"/>
      <c r="E37" s="24"/>
      <c r="F37" s="24"/>
      <c r="G37" s="24"/>
      <c r="H37" s="24"/>
      <c r="I37" s="24"/>
      <c r="J37" s="24"/>
      <c r="K37" s="24"/>
      <c r="L37" s="24"/>
      <c r="M37" s="24"/>
      <c r="N37" s="24"/>
      <c r="O37" s="24"/>
      <c r="P37" s="24"/>
      <c r="Q37" s="24"/>
      <c r="R37" s="24"/>
      <c r="S37" s="24"/>
      <c r="T37" s="24"/>
      <c r="U37" s="24"/>
      <c r="V37" s="24"/>
      <c r="W37" s="24"/>
      <c r="X37" s="24"/>
    </row>
    <row r="38">
      <c r="A38" s="24"/>
      <c r="B38" s="24"/>
      <c r="C38" s="24"/>
      <c r="D38" s="24"/>
      <c r="E38" s="24"/>
      <c r="F38" s="24"/>
      <c r="G38" s="24"/>
      <c r="H38" s="24"/>
      <c r="I38" s="24"/>
      <c r="J38" s="24"/>
      <c r="K38" s="24"/>
      <c r="L38" s="24"/>
      <c r="M38" s="24"/>
      <c r="N38" s="24"/>
      <c r="O38" s="24"/>
      <c r="P38" s="24"/>
      <c r="Q38" s="24"/>
      <c r="R38" s="24"/>
      <c r="S38" s="24"/>
      <c r="T38" s="24"/>
      <c r="U38" s="24"/>
      <c r="V38" s="24"/>
      <c r="W38" s="24"/>
      <c r="X38" s="24"/>
    </row>
    <row r="39">
      <c r="A39" s="24"/>
      <c r="B39" s="24"/>
      <c r="C39" s="24"/>
      <c r="D39" s="24"/>
      <c r="E39" s="24"/>
      <c r="F39" s="24"/>
      <c r="G39" s="127"/>
      <c r="H39" s="24"/>
      <c r="I39" s="24"/>
      <c r="J39" s="24"/>
      <c r="K39" s="24"/>
      <c r="L39" s="24"/>
      <c r="M39" s="24"/>
      <c r="N39" s="24"/>
      <c r="O39" s="24"/>
      <c r="P39" s="24"/>
      <c r="Q39" s="24"/>
      <c r="R39" s="24"/>
      <c r="S39" s="24"/>
      <c r="T39" s="24"/>
      <c r="U39" s="24"/>
      <c r="V39" s="24"/>
      <c r="W39" s="24"/>
      <c r="X39" s="24"/>
    </row>
    <row r="40">
      <c r="A40" s="24"/>
      <c r="B40" s="24"/>
      <c r="C40" s="24"/>
      <c r="D40" s="24"/>
      <c r="E40" s="24"/>
      <c r="F40" s="24"/>
      <c r="G40" s="24"/>
      <c r="H40" s="24"/>
      <c r="I40" s="24"/>
      <c r="J40" s="24"/>
      <c r="K40" s="24"/>
      <c r="L40" s="24"/>
      <c r="M40" s="24"/>
      <c r="N40" s="24"/>
      <c r="O40" s="24"/>
      <c r="P40" s="24"/>
      <c r="Q40" s="24"/>
      <c r="R40" s="24"/>
      <c r="S40" s="24"/>
      <c r="T40" s="24"/>
      <c r="U40" s="24"/>
      <c r="V40" s="24"/>
      <c r="W40" s="24"/>
      <c r="X40" s="24"/>
    </row>
    <row r="41">
      <c r="A41" s="24"/>
      <c r="B41" s="24"/>
      <c r="C41" s="24"/>
      <c r="D41" s="24"/>
      <c r="E41" s="24"/>
      <c r="F41" s="24"/>
      <c r="G41" s="24"/>
      <c r="H41" s="24"/>
      <c r="I41" s="24"/>
      <c r="J41" s="24"/>
      <c r="K41" s="24"/>
      <c r="L41" s="24"/>
      <c r="M41" s="24"/>
      <c r="N41" s="24"/>
      <c r="O41" s="24"/>
      <c r="P41" s="24"/>
      <c r="Q41" s="24"/>
      <c r="R41" s="24"/>
      <c r="S41" s="24"/>
      <c r="T41" s="24"/>
      <c r="U41" s="24"/>
      <c r="V41" s="24"/>
      <c r="W41" s="24"/>
      <c r="X41" s="24"/>
    </row>
    <row r="42">
      <c r="A42" s="24"/>
      <c r="B42" s="24"/>
      <c r="C42" s="24"/>
      <c r="D42" s="24"/>
      <c r="E42" s="24"/>
      <c r="F42" s="24"/>
      <c r="G42" s="24"/>
      <c r="H42" s="24"/>
      <c r="I42" s="24"/>
      <c r="J42" s="24"/>
      <c r="K42" s="24"/>
      <c r="L42" s="24"/>
      <c r="M42" s="24"/>
      <c r="N42" s="24"/>
      <c r="O42" s="24"/>
      <c r="P42" s="24"/>
      <c r="Q42" s="24"/>
      <c r="R42" s="24"/>
      <c r="S42" s="24"/>
      <c r="T42" s="24"/>
      <c r="U42" s="24"/>
      <c r="V42" s="24"/>
      <c r="W42" s="24"/>
      <c r="X42" s="24"/>
    </row>
    <row r="43">
      <c r="A43" s="24"/>
      <c r="B43" s="24"/>
      <c r="C43" s="24"/>
      <c r="D43" s="24"/>
      <c r="E43" s="24"/>
      <c r="F43" s="24"/>
      <c r="G43" s="24"/>
      <c r="H43" s="24"/>
      <c r="I43" s="24"/>
      <c r="J43" s="24"/>
      <c r="K43" s="24"/>
      <c r="L43" s="24"/>
      <c r="M43" s="24"/>
      <c r="N43" s="24"/>
      <c r="O43" s="24"/>
      <c r="P43" s="24"/>
      <c r="Q43" s="24"/>
      <c r="R43" s="24"/>
      <c r="S43" s="24"/>
      <c r="T43" s="24"/>
      <c r="U43" s="24"/>
      <c r="V43" s="24"/>
      <c r="W43" s="24"/>
      <c r="X43" s="24"/>
    </row>
    <row r="44">
      <c r="A44" s="24"/>
      <c r="B44" s="24"/>
      <c r="C44" s="24"/>
      <c r="D44" s="24"/>
      <c r="E44" s="24"/>
      <c r="F44" s="24"/>
      <c r="G44" s="24"/>
      <c r="H44" s="24"/>
      <c r="I44" s="24"/>
      <c r="J44" s="24"/>
      <c r="K44" s="24"/>
      <c r="L44" s="24"/>
      <c r="M44" s="24"/>
      <c r="N44" s="24"/>
      <c r="O44" s="24"/>
      <c r="P44" s="24"/>
      <c r="Q44" s="24"/>
      <c r="R44" s="24"/>
      <c r="S44" s="24"/>
      <c r="T44" s="24"/>
      <c r="U44" s="24"/>
      <c r="V44" s="24"/>
      <c r="W44" s="24"/>
      <c r="X44" s="24"/>
    </row>
    <row r="45">
      <c r="A45" s="24"/>
      <c r="B45" s="24"/>
      <c r="C45" s="24"/>
      <c r="D45" s="24"/>
      <c r="E45" s="24"/>
      <c r="F45" s="24"/>
      <c r="G45" s="24"/>
      <c r="H45" s="24"/>
      <c r="I45" s="24"/>
      <c r="J45" s="24"/>
      <c r="K45" s="24"/>
      <c r="L45" s="24"/>
      <c r="M45" s="24"/>
      <c r="N45" s="24"/>
      <c r="O45" s="24"/>
      <c r="P45" s="24"/>
      <c r="Q45" s="24"/>
      <c r="R45" s="24"/>
      <c r="S45" s="24"/>
      <c r="T45" s="24"/>
      <c r="U45" s="24"/>
      <c r="V45" s="24"/>
      <c r="W45" s="24"/>
      <c r="X45" s="24"/>
    </row>
    <row r="46">
      <c r="A46" s="24"/>
      <c r="B46" s="24"/>
      <c r="C46" s="24"/>
      <c r="D46" s="24"/>
      <c r="E46" s="24"/>
      <c r="F46" s="24"/>
      <c r="G46" s="24"/>
      <c r="H46" s="24"/>
      <c r="I46" s="24"/>
      <c r="J46" s="24"/>
      <c r="K46" s="24"/>
      <c r="L46" s="24"/>
      <c r="M46" s="24"/>
      <c r="N46" s="24"/>
      <c r="O46" s="24"/>
      <c r="P46" s="24"/>
      <c r="Q46" s="24"/>
      <c r="R46" s="24"/>
      <c r="S46" s="24"/>
      <c r="T46" s="24"/>
      <c r="U46" s="24"/>
      <c r="V46" s="24"/>
      <c r="W46" s="24"/>
      <c r="X46" s="24"/>
    </row>
    <row r="47">
      <c r="A47" s="24"/>
      <c r="B47" s="24"/>
      <c r="C47" s="24"/>
      <c r="D47" s="24"/>
      <c r="E47" s="24"/>
      <c r="F47" s="24"/>
      <c r="G47" s="24"/>
      <c r="H47" s="24"/>
      <c r="I47" s="24"/>
      <c r="J47" s="24"/>
      <c r="K47" s="24"/>
      <c r="L47" s="24"/>
      <c r="M47" s="24"/>
      <c r="N47" s="24"/>
      <c r="O47" s="24"/>
      <c r="P47" s="24"/>
      <c r="Q47" s="24"/>
      <c r="R47" s="24"/>
      <c r="S47" s="24"/>
      <c r="T47" s="24"/>
      <c r="U47" s="24"/>
      <c r="V47" s="24"/>
      <c r="W47" s="24"/>
      <c r="X47" s="24"/>
    </row>
    <row r="48">
      <c r="A48" s="24"/>
      <c r="B48" s="24"/>
      <c r="C48" s="24"/>
      <c r="D48" s="24"/>
      <c r="E48" s="24"/>
      <c r="F48" s="24"/>
      <c r="G48" s="24"/>
      <c r="H48" s="24"/>
      <c r="I48" s="24"/>
      <c r="J48" s="24"/>
      <c r="K48" s="24"/>
      <c r="L48" s="24"/>
      <c r="M48" s="24"/>
      <c r="N48" s="24"/>
      <c r="O48" s="24"/>
      <c r="P48" s="24"/>
      <c r="Q48" s="24"/>
      <c r="R48" s="24"/>
      <c r="S48" s="24"/>
      <c r="T48" s="24"/>
      <c r="U48" s="24"/>
      <c r="V48" s="24"/>
      <c r="W48" s="24"/>
      <c r="X48" s="24"/>
    </row>
    <row r="49">
      <c r="A49" s="24"/>
      <c r="B49" s="24"/>
      <c r="C49" s="24"/>
      <c r="D49" s="24"/>
      <c r="E49" s="24"/>
      <c r="F49" s="24"/>
      <c r="G49" s="24"/>
      <c r="H49" s="24"/>
      <c r="I49" s="24"/>
      <c r="J49" s="24"/>
      <c r="K49" s="24"/>
      <c r="L49" s="24"/>
      <c r="M49" s="24"/>
      <c r="N49" s="24"/>
      <c r="O49" s="24"/>
      <c r="P49" s="24"/>
      <c r="Q49" s="24"/>
      <c r="R49" s="24"/>
      <c r="S49" s="24"/>
      <c r="T49" s="24"/>
      <c r="U49" s="24"/>
      <c r="V49" s="24"/>
      <c r="W49" s="24"/>
      <c r="X49" s="24"/>
    </row>
    <row r="50">
      <c r="A50" s="24"/>
      <c r="B50" s="24"/>
      <c r="C50" s="24"/>
      <c r="D50" s="24"/>
      <c r="E50" s="24"/>
      <c r="F50" s="24"/>
      <c r="G50" s="24"/>
      <c r="H50" s="24"/>
      <c r="I50" s="24"/>
      <c r="J50" s="24"/>
      <c r="K50" s="24"/>
      <c r="L50" s="24"/>
      <c r="M50" s="24"/>
      <c r="N50" s="24"/>
      <c r="O50" s="24"/>
      <c r="P50" s="24"/>
      <c r="Q50" s="24"/>
      <c r="R50" s="24"/>
      <c r="S50" s="24"/>
      <c r="T50" s="24"/>
      <c r="U50" s="24"/>
      <c r="V50" s="24"/>
      <c r="W50" s="24"/>
      <c r="X50" s="24"/>
    </row>
    <row r="51">
      <c r="A51" s="24"/>
      <c r="B51" s="24"/>
      <c r="C51" s="24"/>
      <c r="D51" s="24"/>
      <c r="E51" s="24"/>
      <c r="F51" s="24"/>
      <c r="G51" s="24"/>
      <c r="H51" s="24"/>
      <c r="I51" s="24"/>
      <c r="J51" s="24"/>
      <c r="K51" s="24"/>
      <c r="L51" s="24"/>
      <c r="M51" s="24"/>
      <c r="N51" s="24"/>
      <c r="O51" s="24"/>
      <c r="P51" s="24"/>
      <c r="Q51" s="24"/>
      <c r="R51" s="24"/>
      <c r="S51" s="24"/>
      <c r="T51" s="24"/>
      <c r="U51" s="24"/>
      <c r="V51" s="24"/>
      <c r="W51" s="24"/>
      <c r="X51" s="24"/>
    </row>
    <row r="52">
      <c r="A52" s="24"/>
      <c r="B52" s="24"/>
      <c r="C52" s="24"/>
      <c r="D52" s="24"/>
      <c r="E52" s="24"/>
      <c r="F52" s="24"/>
      <c r="G52" s="24"/>
      <c r="H52" s="24"/>
      <c r="I52" s="24"/>
      <c r="J52" s="24"/>
      <c r="K52" s="24"/>
      <c r="L52" s="24"/>
      <c r="M52" s="24"/>
      <c r="N52" s="24"/>
      <c r="O52" s="24"/>
      <c r="P52" s="24"/>
      <c r="Q52" s="24"/>
      <c r="R52" s="24"/>
      <c r="S52" s="24"/>
      <c r="T52" s="24"/>
      <c r="U52" s="24"/>
      <c r="V52" s="24"/>
      <c r="W52" s="24"/>
      <c r="X52" s="24"/>
    </row>
    <row r="53">
      <c r="A53" s="24"/>
      <c r="B53" s="24"/>
      <c r="C53" s="24"/>
      <c r="D53" s="24"/>
      <c r="E53" s="24"/>
      <c r="F53" s="24"/>
      <c r="G53" s="24"/>
      <c r="H53" s="24"/>
      <c r="I53" s="24"/>
      <c r="J53" s="24"/>
      <c r="K53" s="24"/>
      <c r="L53" s="24"/>
      <c r="M53" s="24"/>
      <c r="N53" s="24"/>
      <c r="O53" s="24"/>
      <c r="P53" s="24"/>
      <c r="Q53" s="24"/>
      <c r="R53" s="24"/>
      <c r="S53" s="24"/>
      <c r="T53" s="24"/>
      <c r="U53" s="24"/>
      <c r="V53" s="24"/>
      <c r="W53" s="24"/>
      <c r="X53" s="24"/>
    </row>
    <row r="54">
      <c r="A54" s="24"/>
      <c r="B54" s="24"/>
      <c r="C54" s="24"/>
      <c r="D54" s="24"/>
      <c r="E54" s="24"/>
      <c r="F54" s="24"/>
      <c r="G54" s="24"/>
      <c r="H54" s="24"/>
      <c r="I54" s="24"/>
      <c r="J54" s="24"/>
      <c r="K54" s="24"/>
      <c r="L54" s="24"/>
      <c r="M54" s="24"/>
      <c r="N54" s="24"/>
      <c r="O54" s="24"/>
      <c r="P54" s="24"/>
      <c r="Q54" s="24"/>
      <c r="R54" s="24"/>
      <c r="S54" s="24"/>
      <c r="T54" s="24"/>
      <c r="U54" s="24"/>
      <c r="V54" s="24"/>
      <c r="W54" s="24"/>
      <c r="X54" s="24"/>
    </row>
    <row r="55">
      <c r="A55" s="24"/>
      <c r="B55" s="24"/>
      <c r="C55" s="24"/>
      <c r="D55" s="24"/>
      <c r="E55" s="24"/>
      <c r="F55" s="24"/>
      <c r="G55" s="24"/>
      <c r="H55" s="24"/>
      <c r="I55" s="24"/>
      <c r="J55" s="24"/>
      <c r="K55" s="24"/>
      <c r="L55" s="24"/>
      <c r="M55" s="24"/>
      <c r="N55" s="24"/>
      <c r="O55" s="24"/>
      <c r="P55" s="24"/>
      <c r="Q55" s="24"/>
      <c r="R55" s="24"/>
      <c r="S55" s="24"/>
      <c r="T55" s="24"/>
      <c r="U55" s="24"/>
      <c r="V55" s="24"/>
      <c r="W55" s="24"/>
      <c r="X55" s="24"/>
    </row>
    <row r="56">
      <c r="A56" s="24"/>
      <c r="B56" s="24"/>
      <c r="C56" s="24"/>
      <c r="D56" s="24"/>
      <c r="E56" s="24"/>
      <c r="F56" s="24"/>
      <c r="G56" s="24"/>
      <c r="H56" s="24"/>
      <c r="I56" s="24"/>
      <c r="J56" s="24"/>
      <c r="K56" s="24"/>
      <c r="L56" s="24"/>
      <c r="M56" s="24"/>
      <c r="N56" s="24"/>
      <c r="O56" s="24"/>
      <c r="P56" s="24"/>
      <c r="Q56" s="24"/>
      <c r="R56" s="24"/>
      <c r="S56" s="24"/>
      <c r="T56" s="24"/>
      <c r="U56" s="24"/>
      <c r="V56" s="24"/>
      <c r="W56" s="24"/>
      <c r="X56" s="24"/>
    </row>
    <row r="57">
      <c r="A57" s="24"/>
      <c r="B57" s="24"/>
      <c r="C57" s="24"/>
      <c r="D57" s="24"/>
      <c r="E57" s="24"/>
      <c r="F57" s="24"/>
      <c r="G57" s="24"/>
      <c r="H57" s="24"/>
      <c r="I57" s="24"/>
      <c r="J57" s="24"/>
      <c r="K57" s="24"/>
      <c r="L57" s="24"/>
      <c r="M57" s="24"/>
      <c r="N57" s="24"/>
      <c r="O57" s="24"/>
      <c r="P57" s="24"/>
      <c r="Q57" s="24"/>
      <c r="R57" s="24"/>
      <c r="S57" s="24"/>
      <c r="T57" s="24"/>
      <c r="U57" s="24"/>
      <c r="V57" s="24"/>
      <c r="W57" s="24"/>
      <c r="X57" s="24"/>
    </row>
    <row r="58">
      <c r="A58" s="24"/>
      <c r="B58" s="24"/>
      <c r="C58" s="24"/>
      <c r="D58" s="24"/>
      <c r="E58" s="24"/>
      <c r="F58" s="24"/>
      <c r="G58" s="24"/>
      <c r="H58" s="24"/>
      <c r="I58" s="24"/>
      <c r="J58" s="24"/>
      <c r="K58" s="24"/>
      <c r="L58" s="24"/>
      <c r="M58" s="24"/>
      <c r="N58" s="24"/>
      <c r="O58" s="24"/>
      <c r="P58" s="24"/>
      <c r="Q58" s="24"/>
      <c r="R58" s="24"/>
      <c r="S58" s="24"/>
      <c r="T58" s="24"/>
      <c r="U58" s="24"/>
      <c r="V58" s="24"/>
      <c r="W58" s="24"/>
      <c r="X58" s="24"/>
    </row>
    <row r="59">
      <c r="A59" s="24"/>
      <c r="B59" s="24"/>
      <c r="C59" s="24"/>
      <c r="D59" s="24"/>
      <c r="E59" s="24"/>
      <c r="F59" s="24"/>
      <c r="G59" s="24"/>
      <c r="H59" s="24"/>
      <c r="I59" s="24"/>
      <c r="J59" s="24"/>
      <c r="K59" s="24"/>
      <c r="L59" s="24"/>
      <c r="M59" s="24"/>
      <c r="N59" s="24"/>
      <c r="O59" s="24"/>
      <c r="P59" s="24"/>
      <c r="Q59" s="24"/>
      <c r="R59" s="24"/>
      <c r="S59" s="24"/>
      <c r="T59" s="24"/>
      <c r="U59" s="24"/>
      <c r="V59" s="24"/>
      <c r="W59" s="24"/>
      <c r="X59" s="24"/>
    </row>
    <row r="60">
      <c r="A60" s="24"/>
      <c r="B60" s="24"/>
      <c r="C60" s="24"/>
      <c r="D60" s="24"/>
      <c r="E60" s="24"/>
      <c r="F60" s="24"/>
      <c r="G60" s="24"/>
      <c r="H60" s="24"/>
      <c r="I60" s="24"/>
      <c r="J60" s="24"/>
      <c r="K60" s="24"/>
      <c r="L60" s="24"/>
      <c r="M60" s="24"/>
      <c r="N60" s="24"/>
      <c r="O60" s="24"/>
      <c r="P60" s="24"/>
      <c r="Q60" s="24"/>
      <c r="R60" s="24"/>
      <c r="S60" s="24"/>
      <c r="T60" s="24"/>
      <c r="U60" s="24"/>
      <c r="V60" s="24"/>
      <c r="W60" s="24"/>
      <c r="X60" s="24"/>
    </row>
    <row r="61">
      <c r="A61" s="24"/>
      <c r="B61" s="24"/>
      <c r="C61" s="24"/>
      <c r="D61" s="24"/>
      <c r="E61" s="24"/>
      <c r="F61" s="24"/>
      <c r="G61" s="24"/>
      <c r="H61" s="24"/>
      <c r="I61" s="24"/>
      <c r="J61" s="24"/>
      <c r="K61" s="24"/>
      <c r="L61" s="24"/>
      <c r="M61" s="24"/>
      <c r="N61" s="24"/>
      <c r="O61" s="24"/>
      <c r="P61" s="24"/>
      <c r="Q61" s="24"/>
      <c r="R61" s="24"/>
      <c r="S61" s="24"/>
      <c r="T61" s="24"/>
      <c r="U61" s="24"/>
      <c r="V61" s="24"/>
      <c r="W61" s="24"/>
      <c r="X61" s="24"/>
    </row>
    <row r="62">
      <c r="A62" s="24"/>
      <c r="B62" s="24"/>
      <c r="C62" s="24"/>
      <c r="D62" s="24"/>
      <c r="E62" s="24"/>
      <c r="F62" s="24"/>
      <c r="G62" s="24"/>
      <c r="H62" s="24"/>
      <c r="I62" s="24"/>
      <c r="J62" s="24"/>
      <c r="K62" s="24"/>
      <c r="L62" s="24"/>
      <c r="M62" s="24"/>
      <c r="N62" s="24"/>
      <c r="O62" s="24"/>
      <c r="P62" s="24"/>
      <c r="Q62" s="24"/>
      <c r="R62" s="24"/>
      <c r="S62" s="24"/>
      <c r="T62" s="24"/>
      <c r="U62" s="24"/>
      <c r="V62" s="24"/>
      <c r="W62" s="24"/>
      <c r="X62" s="24"/>
    </row>
    <row r="63">
      <c r="A63" s="24"/>
      <c r="B63" s="24"/>
      <c r="C63" s="24"/>
      <c r="D63" s="24"/>
      <c r="E63" s="24"/>
      <c r="F63" s="24"/>
      <c r="G63" s="24"/>
      <c r="H63" s="24"/>
      <c r="I63" s="24"/>
      <c r="J63" s="24"/>
      <c r="K63" s="24"/>
      <c r="L63" s="24"/>
      <c r="M63" s="24"/>
      <c r="N63" s="24"/>
      <c r="O63" s="24"/>
      <c r="P63" s="24"/>
      <c r="Q63" s="24"/>
      <c r="R63" s="24"/>
      <c r="S63" s="24"/>
      <c r="T63" s="24"/>
      <c r="U63" s="24"/>
      <c r="V63" s="24"/>
      <c r="W63" s="24"/>
      <c r="X63" s="24"/>
    </row>
    <row r="64">
      <c r="A64" s="24"/>
      <c r="B64" s="24"/>
      <c r="C64" s="24"/>
      <c r="D64" s="24"/>
      <c r="E64" s="24"/>
      <c r="F64" s="24"/>
      <c r="G64" s="24"/>
      <c r="H64" s="24"/>
      <c r="I64" s="24"/>
      <c r="J64" s="24"/>
      <c r="K64" s="24"/>
      <c r="L64" s="24"/>
      <c r="M64" s="24"/>
      <c r="N64" s="24"/>
      <c r="O64" s="24"/>
      <c r="P64" s="24"/>
      <c r="Q64" s="24"/>
      <c r="R64" s="24"/>
      <c r="S64" s="24"/>
      <c r="T64" s="24"/>
      <c r="U64" s="24"/>
      <c r="V64" s="24"/>
      <c r="W64" s="24"/>
      <c r="X64" s="24"/>
    </row>
    <row r="65">
      <c r="A65" s="24"/>
      <c r="B65" s="24"/>
      <c r="C65" s="24"/>
      <c r="D65" s="24"/>
      <c r="E65" s="24"/>
      <c r="F65" s="24"/>
      <c r="G65" s="24"/>
      <c r="H65" s="24"/>
      <c r="I65" s="24"/>
      <c r="J65" s="24"/>
      <c r="K65" s="24"/>
      <c r="L65" s="24"/>
      <c r="M65" s="24"/>
      <c r="N65" s="24"/>
      <c r="O65" s="24"/>
      <c r="P65" s="24"/>
      <c r="Q65" s="24"/>
      <c r="R65" s="24"/>
      <c r="S65" s="24"/>
      <c r="T65" s="24"/>
      <c r="U65" s="24"/>
      <c r="V65" s="24"/>
      <c r="W65" s="24"/>
      <c r="X65" s="24"/>
    </row>
    <row r="66">
      <c r="A66" s="24"/>
      <c r="B66" s="24"/>
      <c r="C66" s="24"/>
      <c r="D66" s="24"/>
      <c r="E66" s="24"/>
      <c r="F66" s="24"/>
      <c r="G66" s="24"/>
      <c r="H66" s="24"/>
      <c r="I66" s="24"/>
      <c r="J66" s="24"/>
      <c r="K66" s="24"/>
      <c r="L66" s="24"/>
      <c r="M66" s="24"/>
      <c r="N66" s="24"/>
      <c r="O66" s="24"/>
      <c r="P66" s="24"/>
      <c r="Q66" s="24"/>
      <c r="R66" s="24"/>
      <c r="S66" s="24"/>
      <c r="T66" s="24"/>
      <c r="U66" s="24"/>
      <c r="V66" s="24"/>
      <c r="W66" s="24"/>
      <c r="X66" s="24"/>
    </row>
    <row r="67">
      <c r="A67" s="24"/>
      <c r="B67" s="24"/>
      <c r="C67" s="24"/>
      <c r="D67" s="24"/>
      <c r="E67" s="24"/>
      <c r="F67" s="24"/>
      <c r="G67" s="24"/>
      <c r="H67" s="24"/>
      <c r="I67" s="24"/>
      <c r="J67" s="24"/>
      <c r="K67" s="24"/>
      <c r="L67" s="24"/>
      <c r="M67" s="24"/>
      <c r="N67" s="24"/>
      <c r="O67" s="24"/>
      <c r="P67" s="24"/>
      <c r="Q67" s="24"/>
      <c r="R67" s="24"/>
      <c r="S67" s="24"/>
      <c r="T67" s="24"/>
      <c r="U67" s="24"/>
      <c r="V67" s="24"/>
      <c r="W67" s="24"/>
      <c r="X67" s="24"/>
    </row>
    <row r="68">
      <c r="A68" s="24"/>
      <c r="B68" s="24"/>
      <c r="C68" s="24"/>
      <c r="D68" s="24"/>
      <c r="E68" s="24"/>
      <c r="F68" s="24"/>
      <c r="G68" s="24"/>
      <c r="H68" s="24"/>
      <c r="I68" s="24"/>
      <c r="J68" s="24"/>
      <c r="K68" s="24"/>
      <c r="L68" s="24"/>
      <c r="M68" s="24"/>
      <c r="N68" s="24"/>
      <c r="O68" s="24"/>
      <c r="P68" s="24"/>
      <c r="Q68" s="24"/>
      <c r="R68" s="24"/>
      <c r="S68" s="24"/>
      <c r="T68" s="24"/>
      <c r="U68" s="24"/>
      <c r="V68" s="24"/>
      <c r="W68" s="24"/>
      <c r="X68" s="24"/>
    </row>
    <row r="69">
      <c r="A69" s="24"/>
      <c r="B69" s="24"/>
      <c r="C69" s="24"/>
      <c r="D69" s="24"/>
      <c r="E69" s="24"/>
      <c r="F69" s="24"/>
      <c r="G69" s="24"/>
      <c r="H69" s="24"/>
      <c r="I69" s="24"/>
      <c r="J69" s="24"/>
      <c r="K69" s="24"/>
      <c r="L69" s="24"/>
      <c r="M69" s="24"/>
      <c r="N69" s="24"/>
      <c r="O69" s="24"/>
      <c r="P69" s="24"/>
      <c r="Q69" s="24"/>
      <c r="R69" s="24"/>
      <c r="S69" s="24"/>
      <c r="T69" s="24"/>
      <c r="U69" s="24"/>
      <c r="V69" s="24"/>
      <c r="W69" s="24"/>
      <c r="X69" s="24"/>
    </row>
    <row r="70">
      <c r="A70" s="24"/>
      <c r="B70" s="24"/>
      <c r="C70" s="24"/>
      <c r="D70" s="24"/>
      <c r="E70" s="24"/>
      <c r="F70" s="24"/>
      <c r="G70" s="24"/>
      <c r="H70" s="24"/>
      <c r="I70" s="24"/>
      <c r="J70" s="24"/>
      <c r="K70" s="24"/>
      <c r="L70" s="24"/>
      <c r="M70" s="24"/>
      <c r="N70" s="24"/>
      <c r="O70" s="24"/>
      <c r="P70" s="24"/>
      <c r="Q70" s="24"/>
      <c r="R70" s="24"/>
      <c r="S70" s="24"/>
      <c r="T70" s="24"/>
      <c r="U70" s="24"/>
      <c r="V70" s="24"/>
      <c r="W70" s="24"/>
      <c r="X70" s="24"/>
    </row>
    <row r="71">
      <c r="A71" s="24"/>
      <c r="B71" s="24"/>
      <c r="C71" s="24"/>
      <c r="D71" s="24"/>
      <c r="E71" s="24"/>
      <c r="F71" s="24"/>
      <c r="G71" s="24"/>
      <c r="H71" s="24"/>
      <c r="I71" s="24"/>
      <c r="J71" s="24"/>
      <c r="K71" s="24"/>
      <c r="L71" s="24"/>
      <c r="M71" s="24"/>
      <c r="N71" s="24"/>
      <c r="O71" s="24"/>
      <c r="P71" s="24"/>
      <c r="Q71" s="24"/>
      <c r="R71" s="24"/>
      <c r="S71" s="24"/>
      <c r="T71" s="24"/>
      <c r="U71" s="24"/>
      <c r="V71" s="24"/>
      <c r="W71" s="24"/>
      <c r="X71" s="24"/>
    </row>
    <row r="72">
      <c r="A72" s="24"/>
      <c r="B72" s="24"/>
      <c r="C72" s="24"/>
      <c r="D72" s="24"/>
      <c r="E72" s="24"/>
      <c r="F72" s="24"/>
      <c r="G72" s="24"/>
      <c r="H72" s="24"/>
      <c r="I72" s="24"/>
      <c r="J72" s="24"/>
      <c r="K72" s="24"/>
      <c r="L72" s="24"/>
      <c r="M72" s="24"/>
      <c r="N72" s="24"/>
      <c r="O72" s="24"/>
      <c r="P72" s="24"/>
      <c r="Q72" s="24"/>
      <c r="R72" s="24"/>
      <c r="S72" s="24"/>
      <c r="T72" s="24"/>
      <c r="U72" s="24"/>
      <c r="V72" s="24"/>
      <c r="W72" s="24"/>
      <c r="X72" s="24"/>
    </row>
    <row r="73">
      <c r="A73" s="24"/>
      <c r="B73" s="24"/>
      <c r="C73" s="24"/>
      <c r="D73" s="24"/>
      <c r="E73" s="24"/>
      <c r="F73" s="24"/>
      <c r="G73" s="24"/>
      <c r="H73" s="24"/>
      <c r="I73" s="24"/>
      <c r="J73" s="24"/>
      <c r="K73" s="24"/>
      <c r="L73" s="24"/>
      <c r="M73" s="24"/>
      <c r="N73" s="24"/>
      <c r="O73" s="24"/>
      <c r="P73" s="24"/>
      <c r="Q73" s="24"/>
      <c r="R73" s="24"/>
      <c r="S73" s="24"/>
      <c r="T73" s="24"/>
      <c r="U73" s="24"/>
      <c r="V73" s="24"/>
      <c r="W73" s="24"/>
      <c r="X73" s="24"/>
    </row>
    <row r="74">
      <c r="A74" s="24"/>
      <c r="B74" s="24"/>
      <c r="C74" s="24"/>
      <c r="D74" s="24"/>
      <c r="E74" s="24"/>
      <c r="F74" s="24"/>
      <c r="G74" s="24"/>
      <c r="H74" s="24"/>
      <c r="I74" s="24"/>
      <c r="J74" s="24"/>
      <c r="K74" s="24"/>
      <c r="L74" s="24"/>
      <c r="M74" s="24"/>
      <c r="N74" s="24"/>
      <c r="O74" s="24"/>
      <c r="P74" s="24"/>
      <c r="Q74" s="24"/>
      <c r="R74" s="24"/>
      <c r="S74" s="24"/>
      <c r="T74" s="24"/>
      <c r="U74" s="24"/>
      <c r="V74" s="24"/>
      <c r="W74" s="24"/>
      <c r="X74" s="24"/>
    </row>
    <row r="75">
      <c r="A75" s="24"/>
      <c r="B75" s="24"/>
      <c r="C75" s="24"/>
      <c r="D75" s="24"/>
      <c r="E75" s="24"/>
      <c r="F75" s="24"/>
      <c r="G75" s="24"/>
      <c r="H75" s="24"/>
      <c r="I75" s="24"/>
      <c r="J75" s="24"/>
      <c r="K75" s="24"/>
      <c r="L75" s="24"/>
      <c r="M75" s="24"/>
      <c r="N75" s="24"/>
      <c r="O75" s="24"/>
      <c r="P75" s="24"/>
      <c r="Q75" s="24"/>
      <c r="R75" s="24"/>
      <c r="S75" s="24"/>
      <c r="T75" s="24"/>
      <c r="U75" s="24"/>
      <c r="V75" s="24"/>
      <c r="W75" s="24"/>
      <c r="X75" s="24"/>
    </row>
    <row r="76">
      <c r="A76" s="24"/>
      <c r="B76" s="24"/>
      <c r="C76" s="24"/>
      <c r="D76" s="24"/>
      <c r="E76" s="24"/>
      <c r="F76" s="24"/>
      <c r="G76" s="24"/>
      <c r="H76" s="24"/>
      <c r="I76" s="24"/>
      <c r="J76" s="24"/>
      <c r="K76" s="24"/>
      <c r="L76" s="24"/>
      <c r="M76" s="24"/>
      <c r="N76" s="24"/>
      <c r="O76" s="24"/>
      <c r="P76" s="24"/>
      <c r="Q76" s="24"/>
      <c r="R76" s="24"/>
      <c r="S76" s="24"/>
      <c r="T76" s="24"/>
      <c r="U76" s="24"/>
      <c r="V76" s="24"/>
      <c r="W76" s="24"/>
      <c r="X76" s="24"/>
    </row>
    <row r="77">
      <c r="A77" s="24"/>
      <c r="B77" s="24"/>
      <c r="C77" s="24"/>
      <c r="D77" s="24"/>
      <c r="E77" s="24"/>
      <c r="F77" s="24"/>
      <c r="G77" s="24"/>
      <c r="H77" s="24"/>
      <c r="I77" s="24"/>
      <c r="J77" s="24"/>
      <c r="K77" s="24"/>
      <c r="L77" s="24"/>
      <c r="M77" s="24"/>
      <c r="N77" s="24"/>
      <c r="O77" s="24"/>
      <c r="P77" s="24"/>
      <c r="Q77" s="24"/>
      <c r="R77" s="24"/>
      <c r="S77" s="24"/>
      <c r="T77" s="24"/>
      <c r="U77" s="24"/>
      <c r="V77" s="24"/>
      <c r="W77" s="24"/>
      <c r="X77" s="24"/>
    </row>
    <row r="78">
      <c r="A78" s="24"/>
      <c r="B78" s="24"/>
      <c r="C78" s="24"/>
      <c r="D78" s="24"/>
      <c r="E78" s="24"/>
      <c r="F78" s="24"/>
      <c r="G78" s="24"/>
      <c r="H78" s="24"/>
      <c r="I78" s="24"/>
      <c r="J78" s="24"/>
      <c r="K78" s="24"/>
      <c r="L78" s="24"/>
      <c r="M78" s="24"/>
      <c r="N78" s="24"/>
      <c r="O78" s="24"/>
      <c r="P78" s="24"/>
      <c r="Q78" s="24"/>
      <c r="R78" s="24"/>
      <c r="S78" s="24"/>
      <c r="T78" s="24"/>
      <c r="U78" s="24"/>
      <c r="V78" s="24"/>
      <c r="W78" s="24"/>
      <c r="X78" s="24"/>
    </row>
    <row r="79">
      <c r="A79" s="24"/>
      <c r="B79" s="24"/>
      <c r="C79" s="24"/>
      <c r="D79" s="24"/>
      <c r="E79" s="24"/>
      <c r="F79" s="24"/>
      <c r="G79" s="24"/>
      <c r="H79" s="24"/>
      <c r="I79" s="24"/>
      <c r="J79" s="24"/>
      <c r="K79" s="24"/>
      <c r="L79" s="24"/>
      <c r="M79" s="24"/>
      <c r="N79" s="24"/>
      <c r="O79" s="24"/>
      <c r="P79" s="24"/>
      <c r="Q79" s="24"/>
      <c r="R79" s="24"/>
      <c r="S79" s="24"/>
      <c r="T79" s="24"/>
      <c r="U79" s="24"/>
      <c r="V79" s="24"/>
      <c r="W79" s="24"/>
      <c r="X79" s="24"/>
    </row>
    <row r="80">
      <c r="A80" s="24"/>
      <c r="B80" s="24"/>
      <c r="C80" s="24"/>
      <c r="D80" s="24"/>
      <c r="E80" s="24"/>
      <c r="F80" s="24"/>
      <c r="G80" s="24"/>
      <c r="H80" s="24"/>
      <c r="I80" s="24"/>
      <c r="J80" s="24"/>
      <c r="K80" s="24"/>
      <c r="L80" s="24"/>
      <c r="M80" s="24"/>
      <c r="N80" s="24"/>
      <c r="O80" s="24"/>
      <c r="P80" s="24"/>
      <c r="Q80" s="24"/>
      <c r="R80" s="24"/>
      <c r="S80" s="24"/>
      <c r="T80" s="24"/>
      <c r="U80" s="24"/>
      <c r="V80" s="24"/>
      <c r="W80" s="24"/>
      <c r="X80" s="24"/>
    </row>
    <row r="81">
      <c r="A81" s="24"/>
      <c r="B81" s="24"/>
      <c r="C81" s="24"/>
      <c r="D81" s="24"/>
      <c r="E81" s="24"/>
      <c r="F81" s="24"/>
      <c r="G81" s="24"/>
      <c r="H81" s="24"/>
      <c r="I81" s="24"/>
      <c r="J81" s="24"/>
      <c r="K81" s="24"/>
      <c r="L81" s="24"/>
      <c r="M81" s="24"/>
      <c r="N81" s="24"/>
      <c r="O81" s="24"/>
      <c r="P81" s="24"/>
      <c r="Q81" s="24"/>
      <c r="R81" s="24"/>
      <c r="S81" s="24"/>
      <c r="T81" s="24"/>
      <c r="U81" s="24"/>
      <c r="V81" s="24"/>
      <c r="W81" s="24"/>
      <c r="X81" s="24"/>
    </row>
    <row r="82">
      <c r="A82" s="24"/>
      <c r="B82" s="24"/>
      <c r="C82" s="24"/>
      <c r="D82" s="24"/>
      <c r="E82" s="24"/>
      <c r="F82" s="24"/>
      <c r="G82" s="24"/>
      <c r="H82" s="24"/>
      <c r="I82" s="24"/>
      <c r="J82" s="24"/>
      <c r="K82" s="24"/>
      <c r="L82" s="24"/>
      <c r="M82" s="24"/>
      <c r="N82" s="24"/>
      <c r="O82" s="24"/>
      <c r="P82" s="24"/>
      <c r="Q82" s="24"/>
      <c r="R82" s="24"/>
      <c r="S82" s="24"/>
      <c r="T82" s="24"/>
      <c r="U82" s="24"/>
      <c r="V82" s="24"/>
      <c r="W82" s="24"/>
      <c r="X82" s="24"/>
    </row>
    <row r="83">
      <c r="A83" s="24"/>
      <c r="B83" s="24"/>
      <c r="C83" s="24"/>
      <c r="D83" s="24"/>
      <c r="E83" s="24"/>
      <c r="F83" s="24"/>
      <c r="G83" s="24"/>
      <c r="H83" s="24"/>
      <c r="I83" s="24"/>
      <c r="J83" s="24"/>
      <c r="K83" s="24"/>
      <c r="L83" s="24"/>
      <c r="M83" s="24"/>
      <c r="N83" s="24"/>
      <c r="O83" s="24"/>
      <c r="P83" s="24"/>
      <c r="Q83" s="24"/>
      <c r="R83" s="24"/>
      <c r="S83" s="24"/>
      <c r="T83" s="24"/>
      <c r="U83" s="24"/>
      <c r="V83" s="24"/>
      <c r="W83" s="24"/>
      <c r="X83" s="24"/>
    </row>
    <row r="84">
      <c r="A84" s="24"/>
      <c r="B84" s="24"/>
      <c r="C84" s="24"/>
      <c r="D84" s="24"/>
      <c r="E84" s="24"/>
      <c r="F84" s="24"/>
      <c r="G84" s="24"/>
      <c r="H84" s="24"/>
      <c r="I84" s="24"/>
      <c r="J84" s="24"/>
      <c r="K84" s="24"/>
      <c r="L84" s="24"/>
      <c r="M84" s="24"/>
      <c r="N84" s="24"/>
      <c r="O84" s="24"/>
      <c r="P84" s="24"/>
      <c r="Q84" s="24"/>
      <c r="R84" s="24"/>
      <c r="S84" s="24"/>
      <c r="T84" s="24"/>
      <c r="U84" s="24"/>
      <c r="V84" s="24"/>
      <c r="W84" s="24"/>
      <c r="X84" s="24"/>
    </row>
    <row r="85">
      <c r="A85" s="24"/>
      <c r="B85" s="24"/>
      <c r="C85" s="24"/>
      <c r="D85" s="24"/>
      <c r="E85" s="24"/>
      <c r="F85" s="24"/>
      <c r="G85" s="24"/>
      <c r="H85" s="24"/>
      <c r="I85" s="24"/>
      <c r="J85" s="24"/>
      <c r="K85" s="24"/>
      <c r="L85" s="24"/>
      <c r="M85" s="24"/>
      <c r="N85" s="24"/>
      <c r="O85" s="24"/>
      <c r="P85" s="24"/>
      <c r="Q85" s="24"/>
      <c r="R85" s="24"/>
      <c r="S85" s="24"/>
      <c r="T85" s="24"/>
      <c r="U85" s="24"/>
      <c r="V85" s="24"/>
      <c r="W85" s="24"/>
      <c r="X85" s="24"/>
    </row>
    <row r="86">
      <c r="A86" s="24"/>
      <c r="B86" s="24"/>
      <c r="C86" s="24"/>
      <c r="D86" s="24"/>
      <c r="E86" s="24"/>
      <c r="F86" s="24"/>
      <c r="G86" s="24"/>
      <c r="H86" s="24"/>
      <c r="I86" s="24"/>
      <c r="J86" s="24"/>
      <c r="K86" s="24"/>
      <c r="L86" s="24"/>
      <c r="M86" s="24"/>
      <c r="N86" s="24"/>
      <c r="O86" s="24"/>
      <c r="P86" s="24"/>
      <c r="Q86" s="24"/>
      <c r="R86" s="24"/>
      <c r="S86" s="24"/>
      <c r="T86" s="24"/>
      <c r="U86" s="24"/>
      <c r="V86" s="24"/>
      <c r="W86" s="24"/>
      <c r="X86" s="24"/>
    </row>
    <row r="87">
      <c r="A87" s="24"/>
      <c r="B87" s="24"/>
      <c r="C87" s="24"/>
      <c r="D87" s="24"/>
      <c r="E87" s="24"/>
      <c r="F87" s="24"/>
      <c r="G87" s="24"/>
      <c r="H87" s="24"/>
      <c r="I87" s="24"/>
      <c r="J87" s="24"/>
      <c r="K87" s="24"/>
      <c r="L87" s="24"/>
      <c r="M87" s="24"/>
      <c r="N87" s="24"/>
      <c r="O87" s="24"/>
      <c r="P87" s="24"/>
      <c r="Q87" s="24"/>
      <c r="R87" s="24"/>
      <c r="S87" s="24"/>
      <c r="T87" s="24"/>
      <c r="U87" s="24"/>
      <c r="V87" s="24"/>
      <c r="W87" s="24"/>
      <c r="X87" s="24"/>
    </row>
    <row r="88">
      <c r="A88" s="24"/>
      <c r="B88" s="24"/>
      <c r="C88" s="24"/>
      <c r="D88" s="24"/>
      <c r="E88" s="24"/>
      <c r="F88" s="24"/>
      <c r="G88" s="24"/>
      <c r="H88" s="24"/>
      <c r="I88" s="24"/>
      <c r="J88" s="24"/>
      <c r="K88" s="24"/>
      <c r="L88" s="24"/>
      <c r="M88" s="24"/>
      <c r="N88" s="24"/>
      <c r="O88" s="24"/>
      <c r="P88" s="24"/>
      <c r="Q88" s="24"/>
      <c r="R88" s="24"/>
      <c r="S88" s="24"/>
      <c r="T88" s="24"/>
      <c r="U88" s="24"/>
      <c r="V88" s="24"/>
      <c r="W88" s="24"/>
      <c r="X88" s="24"/>
    </row>
    <row r="89">
      <c r="A89" s="24"/>
      <c r="B89" s="24"/>
      <c r="C89" s="24"/>
      <c r="D89" s="24"/>
      <c r="E89" s="24"/>
      <c r="F89" s="24"/>
      <c r="G89" s="24"/>
      <c r="H89" s="24"/>
      <c r="I89" s="24"/>
      <c r="J89" s="24"/>
      <c r="K89" s="24"/>
      <c r="L89" s="24"/>
      <c r="M89" s="24"/>
      <c r="N89" s="24"/>
      <c r="O89" s="24"/>
      <c r="P89" s="24"/>
      <c r="Q89" s="24"/>
      <c r="R89" s="24"/>
      <c r="S89" s="24"/>
      <c r="T89" s="24"/>
      <c r="U89" s="24"/>
      <c r="V89" s="24"/>
      <c r="W89" s="24"/>
      <c r="X89" s="24"/>
    </row>
    <row r="90">
      <c r="A90" s="24"/>
      <c r="B90" s="24"/>
      <c r="C90" s="24"/>
      <c r="D90" s="24"/>
      <c r="E90" s="24"/>
      <c r="F90" s="24"/>
      <c r="G90" s="24"/>
      <c r="H90" s="24"/>
      <c r="I90" s="24"/>
      <c r="J90" s="24"/>
      <c r="K90" s="24"/>
      <c r="L90" s="24"/>
      <c r="M90" s="24"/>
      <c r="N90" s="24"/>
      <c r="O90" s="24"/>
      <c r="P90" s="24"/>
      <c r="Q90" s="24"/>
      <c r="R90" s="24"/>
      <c r="S90" s="24"/>
      <c r="T90" s="24"/>
      <c r="U90" s="24"/>
      <c r="V90" s="24"/>
      <c r="W90" s="24"/>
      <c r="X90" s="24"/>
    </row>
    <row r="91">
      <c r="A91" s="24"/>
      <c r="B91" s="24"/>
      <c r="C91" s="24"/>
      <c r="D91" s="24"/>
      <c r="E91" s="24"/>
      <c r="F91" s="24"/>
      <c r="G91" s="24"/>
      <c r="H91" s="24"/>
      <c r="I91" s="24"/>
      <c r="J91" s="24"/>
      <c r="K91" s="24"/>
      <c r="L91" s="24"/>
      <c r="M91" s="24"/>
      <c r="N91" s="24"/>
      <c r="O91" s="24"/>
      <c r="P91" s="24"/>
      <c r="Q91" s="24"/>
      <c r="R91" s="24"/>
      <c r="S91" s="24"/>
      <c r="T91" s="24"/>
      <c r="U91" s="24"/>
      <c r="V91" s="24"/>
      <c r="W91" s="24"/>
      <c r="X91" s="24"/>
    </row>
    <row r="92">
      <c r="A92" s="24"/>
      <c r="B92" s="24"/>
      <c r="C92" s="24"/>
      <c r="D92" s="24"/>
      <c r="E92" s="24"/>
      <c r="F92" s="24"/>
      <c r="G92" s="24"/>
      <c r="H92" s="24"/>
      <c r="I92" s="24"/>
      <c r="J92" s="24"/>
      <c r="K92" s="24"/>
      <c r="L92" s="24"/>
      <c r="M92" s="24"/>
      <c r="N92" s="24"/>
      <c r="O92" s="24"/>
      <c r="P92" s="24"/>
      <c r="Q92" s="24"/>
      <c r="R92" s="24"/>
      <c r="S92" s="24"/>
      <c r="T92" s="24"/>
      <c r="U92" s="24"/>
      <c r="V92" s="24"/>
      <c r="W92" s="24"/>
      <c r="X92" s="24"/>
    </row>
    <row r="93">
      <c r="A93" s="24"/>
      <c r="B93" s="24"/>
      <c r="C93" s="24"/>
      <c r="D93" s="24"/>
      <c r="E93" s="24"/>
      <c r="F93" s="24"/>
      <c r="G93" s="24"/>
      <c r="H93" s="24"/>
      <c r="I93" s="24"/>
      <c r="J93" s="24"/>
      <c r="K93" s="24"/>
      <c r="L93" s="24"/>
      <c r="M93" s="24"/>
      <c r="N93" s="24"/>
      <c r="O93" s="24"/>
      <c r="P93" s="24"/>
      <c r="Q93" s="24"/>
      <c r="R93" s="24"/>
      <c r="S93" s="24"/>
      <c r="T93" s="24"/>
      <c r="U93" s="24"/>
      <c r="V93" s="24"/>
      <c r="W93" s="24"/>
      <c r="X93" s="24"/>
    </row>
    <row r="94">
      <c r="A94" s="24"/>
      <c r="B94" s="24"/>
      <c r="C94" s="24"/>
      <c r="D94" s="24"/>
      <c r="E94" s="24"/>
      <c r="F94" s="24"/>
      <c r="G94" s="24"/>
      <c r="H94" s="24"/>
      <c r="I94" s="24"/>
      <c r="J94" s="24"/>
      <c r="K94" s="24"/>
      <c r="L94" s="24"/>
      <c r="M94" s="24"/>
      <c r="N94" s="24"/>
      <c r="O94" s="24"/>
      <c r="P94" s="24"/>
      <c r="Q94" s="24"/>
      <c r="R94" s="24"/>
      <c r="S94" s="24"/>
      <c r="T94" s="24"/>
      <c r="U94" s="24"/>
      <c r="V94" s="24"/>
      <c r="W94" s="24"/>
      <c r="X94" s="24"/>
    </row>
    <row r="95">
      <c r="A95" s="24"/>
      <c r="B95" s="24"/>
      <c r="C95" s="24"/>
      <c r="D95" s="24"/>
      <c r="E95" s="24"/>
      <c r="F95" s="24"/>
      <c r="G95" s="24"/>
      <c r="H95" s="24"/>
      <c r="I95" s="24"/>
      <c r="J95" s="24"/>
      <c r="K95" s="24"/>
      <c r="L95" s="24"/>
      <c r="M95" s="24"/>
      <c r="N95" s="24"/>
      <c r="O95" s="24"/>
      <c r="P95" s="24"/>
      <c r="Q95" s="24"/>
      <c r="R95" s="24"/>
      <c r="S95" s="24"/>
      <c r="T95" s="24"/>
      <c r="U95" s="24"/>
      <c r="V95" s="24"/>
      <c r="W95" s="24"/>
      <c r="X95" s="24"/>
    </row>
    <row r="96">
      <c r="A96" s="24"/>
      <c r="B96" s="24"/>
      <c r="C96" s="24"/>
      <c r="D96" s="24"/>
      <c r="E96" s="24"/>
      <c r="F96" s="24"/>
      <c r="G96" s="24"/>
      <c r="H96" s="24"/>
      <c r="I96" s="24"/>
      <c r="J96" s="24"/>
      <c r="K96" s="24"/>
      <c r="L96" s="24"/>
      <c r="M96" s="24"/>
      <c r="N96" s="24"/>
      <c r="O96" s="24"/>
      <c r="P96" s="24"/>
      <c r="Q96" s="24"/>
      <c r="R96" s="24"/>
      <c r="S96" s="24"/>
      <c r="T96" s="24"/>
      <c r="U96" s="24"/>
      <c r="V96" s="24"/>
      <c r="W96" s="24"/>
      <c r="X96" s="24"/>
    </row>
    <row r="97">
      <c r="A97" s="24"/>
      <c r="B97" s="24"/>
      <c r="C97" s="24"/>
      <c r="D97" s="24"/>
      <c r="E97" s="24"/>
      <c r="F97" s="24"/>
      <c r="G97" s="24"/>
      <c r="H97" s="24"/>
      <c r="I97" s="24"/>
      <c r="J97" s="24"/>
      <c r="K97" s="24"/>
      <c r="L97" s="24"/>
      <c r="M97" s="24"/>
      <c r="N97" s="24"/>
      <c r="O97" s="24"/>
      <c r="P97" s="24"/>
      <c r="Q97" s="24"/>
      <c r="R97" s="24"/>
      <c r="S97" s="24"/>
      <c r="T97" s="24"/>
      <c r="U97" s="24"/>
      <c r="V97" s="24"/>
      <c r="W97" s="24"/>
      <c r="X97" s="24"/>
    </row>
    <row r="98">
      <c r="A98" s="24"/>
      <c r="B98" s="24"/>
      <c r="C98" s="24"/>
      <c r="D98" s="24"/>
      <c r="E98" s="24"/>
      <c r="F98" s="24"/>
      <c r="G98" s="24"/>
      <c r="H98" s="24"/>
      <c r="I98" s="24"/>
      <c r="J98" s="24"/>
      <c r="K98" s="24"/>
      <c r="L98" s="24"/>
      <c r="M98" s="24"/>
      <c r="N98" s="24"/>
      <c r="O98" s="24"/>
      <c r="P98" s="24"/>
      <c r="Q98" s="24"/>
      <c r="R98" s="24"/>
      <c r="S98" s="24"/>
      <c r="T98" s="24"/>
      <c r="U98" s="24"/>
      <c r="V98" s="24"/>
      <c r="W98" s="24"/>
      <c r="X98" s="24"/>
    </row>
    <row r="99">
      <c r="A99" s="24"/>
      <c r="B99" s="24"/>
      <c r="C99" s="24"/>
      <c r="D99" s="24"/>
      <c r="E99" s="24"/>
      <c r="F99" s="24"/>
      <c r="G99" s="24"/>
      <c r="H99" s="24"/>
      <c r="I99" s="24"/>
      <c r="J99" s="24"/>
      <c r="K99" s="24"/>
      <c r="L99" s="24"/>
      <c r="M99" s="24"/>
      <c r="N99" s="24"/>
      <c r="O99" s="24"/>
      <c r="P99" s="24"/>
      <c r="Q99" s="24"/>
      <c r="R99" s="24"/>
      <c r="S99" s="24"/>
      <c r="T99" s="24"/>
      <c r="U99" s="24"/>
      <c r="V99" s="24"/>
      <c r="W99" s="24"/>
      <c r="X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row>
    <row r="97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row>
    <row r="979">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row>
    <row r="980">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row>
    <row r="98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row>
    <row r="982">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row>
    <row r="983">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row>
    <row r="984">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row>
    <row r="98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row>
    <row r="986">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row>
    <row r="987">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row>
    <row r="988">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row>
    <row r="989">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row>
    <row r="990">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row>
    <row r="99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row>
  </sheetData>
  <mergeCells count="31">
    <mergeCell ref="B1:D2"/>
    <mergeCell ref="B3:D3"/>
    <mergeCell ref="B4:D4"/>
    <mergeCell ref="B5:D5"/>
    <mergeCell ref="A9:A10"/>
    <mergeCell ref="B9:B10"/>
    <mergeCell ref="C9:C10"/>
    <mergeCell ref="D9:F10"/>
    <mergeCell ref="G9:G10"/>
    <mergeCell ref="H9:H10"/>
    <mergeCell ref="I9:I10"/>
    <mergeCell ref="J9:J10"/>
    <mergeCell ref="B11:J11"/>
    <mergeCell ref="A12:J12"/>
    <mergeCell ref="D13:F13"/>
    <mergeCell ref="A14:J14"/>
    <mergeCell ref="D15:F15"/>
    <mergeCell ref="A16:J16"/>
    <mergeCell ref="D17:F17"/>
    <mergeCell ref="A18:J18"/>
    <mergeCell ref="D19:F19"/>
    <mergeCell ref="A27:J27"/>
    <mergeCell ref="K27:W27"/>
    <mergeCell ref="D20:F20"/>
    <mergeCell ref="D21:F21"/>
    <mergeCell ref="A22:J22"/>
    <mergeCell ref="D23:F23"/>
    <mergeCell ref="D24:F24"/>
    <mergeCell ref="D25:F25"/>
    <mergeCell ref="D26:F26"/>
    <mergeCell ref="D28:F28"/>
  </mergeCells>
  <hyperlinks>
    <hyperlink r:id="rId1" ref="G13"/>
    <hyperlink r:id="rId2" ref="G15"/>
    <hyperlink r:id="rId3" ref="G17"/>
    <hyperlink r:id="rId4" ref="G19"/>
    <hyperlink r:id="rId5" ref="G20"/>
    <hyperlink r:id="rId6" ref="G21"/>
    <hyperlink r:id="rId7" ref="G23"/>
    <hyperlink r:id="rId8" ref="G24"/>
    <hyperlink r:id="rId9" ref="G25"/>
    <hyperlink r:id="rId10" ref="G26"/>
    <hyperlink r:id="rId11" ref="G28"/>
  </hyperlinks>
  <drawing r:id="rId1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75"/>
    <col customWidth="1" min="2" max="2" width="19.13"/>
    <col customWidth="1" min="3" max="3" width="50.38"/>
    <col customWidth="1" min="6" max="6" width="19.0"/>
    <col customWidth="1" min="7" max="7" width="18.88"/>
    <col customWidth="1" min="8" max="8" width="15.88"/>
    <col customWidth="1" min="9" max="9" width="15.5"/>
    <col customWidth="1" min="10" max="10" width="21.38"/>
  </cols>
  <sheetData>
    <row r="1">
      <c r="A1" s="11" t="s">
        <v>3</v>
      </c>
      <c r="B1" s="18"/>
      <c r="E1" s="18"/>
      <c r="F1" s="18"/>
      <c r="G1" s="18"/>
      <c r="H1" s="18"/>
      <c r="I1" s="18"/>
      <c r="J1" s="18"/>
      <c r="K1" s="24"/>
      <c r="L1" s="24"/>
      <c r="M1" s="24"/>
      <c r="N1" s="24"/>
      <c r="O1" s="24"/>
      <c r="P1" s="24"/>
      <c r="Q1" s="24"/>
      <c r="R1" s="24"/>
      <c r="S1" s="24"/>
      <c r="T1" s="24"/>
      <c r="U1" s="24"/>
      <c r="V1" s="24"/>
      <c r="W1" s="24"/>
      <c r="X1" s="24"/>
    </row>
    <row r="2">
      <c r="A2" s="18"/>
      <c r="B2" s="44"/>
      <c r="C2" s="44"/>
      <c r="D2" s="44"/>
      <c r="E2" s="18"/>
      <c r="F2" s="18"/>
      <c r="G2" s="18"/>
      <c r="H2" s="18"/>
      <c r="I2" s="18"/>
      <c r="J2" s="18"/>
      <c r="K2" s="24"/>
      <c r="L2" s="24"/>
      <c r="M2" s="24"/>
      <c r="N2" s="24"/>
      <c r="O2" s="24"/>
      <c r="P2" s="24"/>
      <c r="Q2" s="24"/>
      <c r="R2" s="24"/>
      <c r="S2" s="24"/>
      <c r="T2" s="24"/>
      <c r="U2" s="24"/>
      <c r="V2" s="24"/>
      <c r="W2" s="24"/>
      <c r="X2" s="24"/>
    </row>
    <row r="3">
      <c r="A3" s="56" t="s">
        <v>60</v>
      </c>
      <c r="B3" s="58" t="s">
        <v>63</v>
      </c>
      <c r="C3" s="59"/>
      <c r="D3" s="60"/>
      <c r="E3" s="18"/>
      <c r="F3" s="18"/>
      <c r="G3" s="18"/>
      <c r="H3" s="18"/>
      <c r="I3" s="24"/>
      <c r="J3" s="24"/>
      <c r="K3" s="24"/>
      <c r="L3" s="24"/>
      <c r="M3" s="24"/>
      <c r="N3" s="24"/>
      <c r="O3" s="24"/>
      <c r="P3" s="24"/>
      <c r="Q3" s="24"/>
      <c r="R3" s="24"/>
      <c r="S3" s="24"/>
      <c r="T3" s="24"/>
      <c r="U3" s="24"/>
      <c r="V3" s="24"/>
      <c r="W3" s="24"/>
      <c r="X3" s="24"/>
    </row>
    <row r="4">
      <c r="A4" s="56" t="s">
        <v>69</v>
      </c>
      <c r="B4" s="61" t="s">
        <v>942</v>
      </c>
      <c r="C4" s="59"/>
      <c r="D4" s="60"/>
      <c r="E4" s="18"/>
      <c r="F4" s="18"/>
      <c r="G4" s="18"/>
      <c r="H4" s="18"/>
      <c r="I4" s="24"/>
      <c r="J4" s="24"/>
      <c r="K4" s="24"/>
      <c r="L4" s="24"/>
      <c r="M4" s="24"/>
      <c r="N4" s="24"/>
      <c r="O4" s="24"/>
      <c r="P4" s="24"/>
      <c r="Q4" s="24"/>
      <c r="R4" s="24"/>
      <c r="S4" s="24"/>
      <c r="T4" s="24"/>
      <c r="U4" s="24"/>
      <c r="V4" s="24"/>
      <c r="W4" s="24"/>
      <c r="X4" s="24"/>
    </row>
    <row r="5">
      <c r="A5" s="56" t="s">
        <v>83</v>
      </c>
      <c r="B5" s="58" t="s">
        <v>943</v>
      </c>
      <c r="C5" s="59"/>
      <c r="D5" s="60"/>
      <c r="E5" s="18"/>
      <c r="F5" s="18"/>
      <c r="G5" s="18"/>
      <c r="H5" s="18"/>
      <c r="I5" s="24"/>
      <c r="J5" s="24"/>
      <c r="K5" s="24"/>
      <c r="L5" s="24"/>
      <c r="M5" s="24"/>
      <c r="N5" s="24"/>
      <c r="O5" s="24"/>
      <c r="P5" s="24"/>
      <c r="Q5" s="24"/>
      <c r="R5" s="24"/>
      <c r="S5" s="24"/>
      <c r="T5" s="24"/>
      <c r="U5" s="24"/>
      <c r="V5" s="24"/>
      <c r="W5" s="24"/>
      <c r="X5" s="24"/>
    </row>
    <row r="6">
      <c r="A6" s="69" t="s">
        <v>23</v>
      </c>
      <c r="B6" s="70">
        <v>4.0</v>
      </c>
      <c r="C6" s="72" t="s">
        <v>25</v>
      </c>
      <c r="D6" s="73">
        <v>0.0</v>
      </c>
      <c r="E6" s="18"/>
      <c r="F6" s="18"/>
      <c r="G6" s="18"/>
      <c r="H6" s="18"/>
      <c r="I6" s="24"/>
      <c r="J6" s="24"/>
      <c r="K6" s="24"/>
      <c r="L6" s="24"/>
      <c r="M6" s="24"/>
      <c r="N6" s="24"/>
      <c r="O6" s="24"/>
      <c r="P6" s="24"/>
      <c r="Q6" s="24"/>
      <c r="R6" s="24"/>
      <c r="S6" s="24"/>
      <c r="T6" s="24"/>
      <c r="U6" s="24"/>
      <c r="V6" s="24"/>
      <c r="W6" s="24"/>
      <c r="X6" s="24"/>
    </row>
    <row r="7">
      <c r="A7" s="69" t="s">
        <v>24</v>
      </c>
      <c r="B7" s="70">
        <v>0.0</v>
      </c>
      <c r="C7" s="75" t="s">
        <v>99</v>
      </c>
      <c r="D7" s="73">
        <v>4.0</v>
      </c>
      <c r="E7" s="18"/>
      <c r="F7" s="18"/>
      <c r="G7" s="18"/>
      <c r="H7" s="18"/>
      <c r="I7" s="24"/>
      <c r="J7" s="24"/>
      <c r="K7" s="24"/>
      <c r="L7" s="24"/>
      <c r="M7" s="24"/>
      <c r="N7" s="24"/>
      <c r="O7" s="24"/>
      <c r="P7" s="24"/>
      <c r="Q7" s="24"/>
      <c r="R7" s="24"/>
      <c r="S7" s="24"/>
      <c r="T7" s="24"/>
      <c r="U7" s="24"/>
      <c r="V7" s="24"/>
      <c r="W7" s="24"/>
      <c r="X7" s="24"/>
    </row>
    <row r="8">
      <c r="A8" s="76"/>
      <c r="B8" s="77"/>
      <c r="C8" s="77"/>
      <c r="D8" s="77"/>
      <c r="E8" s="18"/>
      <c r="F8" s="18"/>
      <c r="G8" s="18"/>
      <c r="H8" s="18"/>
      <c r="I8" s="78"/>
      <c r="J8" s="78"/>
      <c r="K8" s="24"/>
      <c r="L8" s="24"/>
      <c r="M8" s="24"/>
      <c r="N8" s="24"/>
      <c r="O8" s="24"/>
      <c r="P8" s="24"/>
      <c r="Q8" s="24"/>
      <c r="R8" s="24"/>
      <c r="S8" s="24"/>
      <c r="T8" s="24"/>
      <c r="U8" s="24"/>
      <c r="V8" s="24"/>
      <c r="W8" s="24"/>
      <c r="X8" s="24"/>
    </row>
    <row r="9">
      <c r="A9" s="79" t="s">
        <v>101</v>
      </c>
      <c r="B9" s="80" t="s">
        <v>102</v>
      </c>
      <c r="C9" s="79" t="s">
        <v>103</v>
      </c>
      <c r="D9" s="81" t="s">
        <v>104</v>
      </c>
      <c r="G9" s="79" t="s">
        <v>106</v>
      </c>
      <c r="H9" s="82" t="s">
        <v>107</v>
      </c>
      <c r="I9" s="82" t="s">
        <v>109</v>
      </c>
      <c r="J9" s="82" t="s">
        <v>110</v>
      </c>
      <c r="K9" s="24"/>
      <c r="L9" s="24"/>
      <c r="M9" s="24"/>
      <c r="N9" s="24"/>
      <c r="O9" s="24"/>
      <c r="P9" s="24"/>
      <c r="Q9" s="24"/>
      <c r="R9" s="24"/>
      <c r="S9" s="24"/>
      <c r="T9" s="24"/>
      <c r="U9" s="24"/>
      <c r="V9" s="24"/>
      <c r="W9" s="24"/>
      <c r="X9" s="24"/>
    </row>
    <row r="10">
      <c r="A10" s="84"/>
      <c r="B10" s="84"/>
      <c r="C10" s="84"/>
      <c r="D10" s="85"/>
      <c r="E10" s="44"/>
      <c r="F10" s="44"/>
      <c r="G10" s="84"/>
      <c r="H10" s="84"/>
      <c r="I10" s="84"/>
      <c r="J10" s="84"/>
      <c r="K10" s="24"/>
      <c r="L10" s="24"/>
      <c r="M10" s="24"/>
      <c r="N10" s="24"/>
      <c r="O10" s="24"/>
      <c r="P10" s="24"/>
      <c r="Q10" s="24"/>
      <c r="R10" s="24"/>
      <c r="S10" s="24"/>
      <c r="T10" s="24"/>
      <c r="U10" s="24"/>
      <c r="V10" s="24"/>
      <c r="W10" s="24"/>
      <c r="X10" s="24"/>
    </row>
    <row r="11">
      <c r="A11" s="86"/>
      <c r="B11" s="138"/>
      <c r="C11" s="59"/>
      <c r="D11" s="59"/>
      <c r="E11" s="59"/>
      <c r="F11" s="59"/>
      <c r="G11" s="59"/>
      <c r="H11" s="59"/>
      <c r="I11" s="59"/>
      <c r="J11" s="60"/>
      <c r="K11" s="24"/>
      <c r="L11" s="24"/>
      <c r="M11" s="24"/>
      <c r="N11" s="24"/>
      <c r="O11" s="24"/>
      <c r="P11" s="24"/>
      <c r="Q11" s="24"/>
      <c r="R11" s="24"/>
      <c r="S11" s="24"/>
      <c r="T11" s="24"/>
      <c r="U11" s="24"/>
      <c r="V11" s="24"/>
      <c r="W11" s="24"/>
      <c r="X11" s="24"/>
    </row>
    <row r="12">
      <c r="A12" s="87" t="s">
        <v>944</v>
      </c>
      <c r="B12" s="59"/>
      <c r="C12" s="59"/>
      <c r="D12" s="59"/>
      <c r="E12" s="59"/>
      <c r="F12" s="59"/>
      <c r="G12" s="59"/>
      <c r="H12" s="59"/>
      <c r="I12" s="59"/>
      <c r="J12" s="60"/>
      <c r="K12" s="24"/>
      <c r="L12" s="24"/>
      <c r="M12" s="24"/>
      <c r="N12" s="24"/>
      <c r="O12" s="24"/>
      <c r="P12" s="24"/>
      <c r="Q12" s="24"/>
      <c r="R12" s="24"/>
      <c r="S12" s="24"/>
      <c r="T12" s="24"/>
      <c r="U12" s="24"/>
      <c r="V12" s="24"/>
      <c r="W12" s="24"/>
      <c r="X12" s="24"/>
    </row>
    <row r="13" ht="156.75" customHeight="1">
      <c r="A13" s="88" t="s">
        <v>945</v>
      </c>
      <c r="B13" s="90" t="s">
        <v>946</v>
      </c>
      <c r="C13" s="91" t="s">
        <v>947</v>
      </c>
      <c r="D13" s="93" t="s">
        <v>948</v>
      </c>
      <c r="E13" s="59"/>
      <c r="F13" s="59"/>
      <c r="G13" s="102" t="s">
        <v>949</v>
      </c>
      <c r="H13" s="103">
        <v>46256.0</v>
      </c>
      <c r="I13" s="88" t="s">
        <v>23</v>
      </c>
      <c r="J13" s="91" t="s">
        <v>950</v>
      </c>
      <c r="K13" s="24"/>
      <c r="L13" s="24"/>
      <c r="M13" s="24"/>
      <c r="N13" s="24"/>
      <c r="O13" s="24"/>
      <c r="P13" s="24"/>
      <c r="Q13" s="24"/>
      <c r="R13" s="24"/>
      <c r="S13" s="24"/>
      <c r="T13" s="24"/>
      <c r="U13" s="24"/>
      <c r="V13" s="24"/>
      <c r="W13" s="24"/>
      <c r="X13" s="24"/>
    </row>
    <row r="14" ht="15.75" customHeight="1">
      <c r="A14" s="87" t="s">
        <v>951</v>
      </c>
      <c r="B14" s="59"/>
      <c r="C14" s="59"/>
      <c r="D14" s="59"/>
      <c r="E14" s="59"/>
      <c r="F14" s="59"/>
      <c r="G14" s="59"/>
      <c r="H14" s="59"/>
      <c r="I14" s="59"/>
      <c r="J14" s="60"/>
      <c r="K14" s="24"/>
      <c r="L14" s="24"/>
      <c r="M14" s="24"/>
      <c r="N14" s="24"/>
      <c r="O14" s="24"/>
      <c r="P14" s="24"/>
      <c r="Q14" s="24"/>
      <c r="R14" s="24"/>
      <c r="S14" s="24"/>
      <c r="T14" s="24"/>
      <c r="U14" s="24"/>
      <c r="V14" s="24"/>
      <c r="W14" s="24"/>
      <c r="X14" s="24"/>
    </row>
    <row r="15" ht="177.0" customHeight="1">
      <c r="A15" s="88" t="s">
        <v>952</v>
      </c>
      <c r="B15" s="90" t="s">
        <v>953</v>
      </c>
      <c r="C15" s="91" t="s">
        <v>954</v>
      </c>
      <c r="D15" s="93" t="s">
        <v>955</v>
      </c>
      <c r="E15" s="59"/>
      <c r="F15" s="59"/>
      <c r="G15" s="102" t="s">
        <v>956</v>
      </c>
      <c r="H15" s="103">
        <v>46256.0</v>
      </c>
      <c r="I15" s="88" t="s">
        <v>23</v>
      </c>
      <c r="J15" s="91" t="s">
        <v>957</v>
      </c>
      <c r="K15" s="24"/>
      <c r="L15" s="24"/>
      <c r="M15" s="24"/>
      <c r="N15" s="24"/>
      <c r="O15" s="24"/>
      <c r="P15" s="24"/>
      <c r="Q15" s="24"/>
      <c r="R15" s="24"/>
      <c r="S15" s="24"/>
      <c r="T15" s="24"/>
      <c r="U15" s="24"/>
      <c r="V15" s="24"/>
      <c r="W15" s="24"/>
      <c r="X15" s="24"/>
    </row>
    <row r="16" ht="165.75" customHeight="1">
      <c r="A16" s="88" t="s">
        <v>958</v>
      </c>
      <c r="B16" s="90" t="s">
        <v>959</v>
      </c>
      <c r="C16" s="91" t="s">
        <v>960</v>
      </c>
      <c r="D16" s="93" t="s">
        <v>961</v>
      </c>
      <c r="E16" s="59"/>
      <c r="F16" s="59"/>
      <c r="G16" s="102" t="s">
        <v>962</v>
      </c>
      <c r="H16" s="103">
        <v>46256.0</v>
      </c>
      <c r="I16" s="88" t="s">
        <v>23</v>
      </c>
      <c r="J16" s="91" t="s">
        <v>963</v>
      </c>
      <c r="K16" s="24"/>
      <c r="L16" s="24"/>
      <c r="M16" s="24"/>
      <c r="N16" s="24"/>
      <c r="O16" s="24"/>
      <c r="P16" s="24"/>
      <c r="Q16" s="24"/>
      <c r="R16" s="24"/>
      <c r="S16" s="24"/>
      <c r="T16" s="24"/>
      <c r="U16" s="24"/>
      <c r="V16" s="24"/>
      <c r="W16" s="24"/>
      <c r="X16" s="24"/>
    </row>
    <row r="17" ht="155.25" customHeight="1">
      <c r="A17" s="88" t="s">
        <v>964</v>
      </c>
      <c r="B17" s="90" t="s">
        <v>965</v>
      </c>
      <c r="C17" s="91" t="s">
        <v>966</v>
      </c>
      <c r="D17" s="93" t="s">
        <v>967</v>
      </c>
      <c r="E17" s="59"/>
      <c r="F17" s="59"/>
      <c r="G17" s="102" t="s">
        <v>968</v>
      </c>
      <c r="H17" s="103">
        <v>46256.0</v>
      </c>
      <c r="I17" s="88" t="s">
        <v>23</v>
      </c>
      <c r="J17" s="91" t="s">
        <v>969</v>
      </c>
      <c r="K17" s="24"/>
      <c r="L17" s="24"/>
      <c r="M17" s="24"/>
      <c r="N17" s="24"/>
      <c r="O17" s="24"/>
      <c r="P17" s="24"/>
      <c r="Q17" s="24"/>
      <c r="R17" s="24"/>
      <c r="S17" s="24"/>
      <c r="T17" s="24"/>
      <c r="U17" s="24"/>
      <c r="V17" s="24"/>
      <c r="W17" s="24"/>
      <c r="X17" s="24"/>
    </row>
    <row r="18">
      <c r="A18" s="24"/>
      <c r="B18" s="24"/>
      <c r="C18" s="24"/>
      <c r="D18" s="24"/>
      <c r="E18" s="24"/>
      <c r="F18" s="24"/>
      <c r="G18" s="24"/>
      <c r="H18" s="24"/>
      <c r="I18" s="24"/>
      <c r="J18" s="24"/>
      <c r="K18" s="24"/>
      <c r="L18" s="24"/>
      <c r="M18" s="24"/>
      <c r="N18" s="24"/>
      <c r="O18" s="24"/>
      <c r="P18" s="24"/>
      <c r="Q18" s="24"/>
      <c r="R18" s="24"/>
      <c r="S18" s="24"/>
      <c r="T18" s="24"/>
      <c r="U18" s="24"/>
      <c r="V18" s="24"/>
      <c r="W18" s="24"/>
      <c r="X18" s="24"/>
    </row>
    <row r="19">
      <c r="A19" s="24"/>
      <c r="B19" s="24"/>
      <c r="C19" s="24"/>
      <c r="D19" s="24"/>
      <c r="E19" s="24"/>
      <c r="F19" s="24"/>
      <c r="G19" s="24"/>
      <c r="H19" s="24"/>
      <c r="I19" s="24"/>
      <c r="J19" s="24"/>
      <c r="K19" s="24"/>
      <c r="L19" s="24"/>
      <c r="M19" s="24"/>
      <c r="N19" s="24"/>
      <c r="O19" s="24"/>
      <c r="P19" s="24"/>
      <c r="Q19" s="24"/>
      <c r="R19" s="24"/>
      <c r="S19" s="24"/>
      <c r="T19" s="24"/>
      <c r="U19" s="24"/>
      <c r="V19" s="24"/>
      <c r="W19" s="24"/>
      <c r="X19" s="24"/>
    </row>
    <row r="20">
      <c r="A20" s="24"/>
      <c r="B20" s="24"/>
      <c r="C20" s="24"/>
      <c r="D20" s="24"/>
      <c r="E20" s="24"/>
      <c r="F20" s="24"/>
      <c r="G20" s="24"/>
      <c r="H20" s="24"/>
      <c r="I20" s="24"/>
      <c r="J20" s="24"/>
      <c r="K20" s="24"/>
      <c r="L20" s="24"/>
      <c r="M20" s="24"/>
      <c r="N20" s="24"/>
      <c r="O20" s="24"/>
      <c r="P20" s="24"/>
      <c r="Q20" s="24"/>
      <c r="R20" s="24"/>
      <c r="S20" s="24"/>
      <c r="T20" s="24"/>
      <c r="U20" s="24"/>
      <c r="V20" s="24"/>
      <c r="W20" s="24"/>
      <c r="X20" s="24"/>
    </row>
    <row r="21">
      <c r="A21" s="24"/>
      <c r="B21" s="24"/>
      <c r="C21" s="24"/>
      <c r="D21" s="24"/>
      <c r="E21" s="24"/>
      <c r="F21" s="24"/>
      <c r="G21" s="24"/>
      <c r="H21" s="24"/>
      <c r="I21" s="24"/>
      <c r="J21" s="24"/>
      <c r="K21" s="24"/>
      <c r="L21" s="24"/>
      <c r="M21" s="24"/>
      <c r="N21" s="24"/>
      <c r="O21" s="24"/>
      <c r="P21" s="24"/>
      <c r="Q21" s="24"/>
      <c r="R21" s="24"/>
      <c r="S21" s="24"/>
      <c r="T21" s="24"/>
      <c r="U21" s="24"/>
      <c r="V21" s="24"/>
      <c r="W21" s="24"/>
      <c r="X21" s="24"/>
    </row>
    <row r="22">
      <c r="A22" s="24"/>
      <c r="B22" s="24"/>
      <c r="C22" s="24"/>
      <c r="D22" s="24"/>
      <c r="E22" s="24"/>
      <c r="F22" s="24"/>
      <c r="G22" s="24"/>
      <c r="H22" s="24"/>
      <c r="I22" s="24"/>
      <c r="J22" s="24"/>
      <c r="K22" s="24"/>
      <c r="L22" s="24"/>
      <c r="M22" s="24"/>
      <c r="N22" s="24"/>
      <c r="O22" s="24"/>
      <c r="P22" s="24"/>
      <c r="Q22" s="24"/>
      <c r="R22" s="24"/>
      <c r="S22" s="24"/>
      <c r="T22" s="24"/>
      <c r="U22" s="24"/>
      <c r="V22" s="24"/>
      <c r="W22" s="24"/>
      <c r="X22" s="24"/>
    </row>
    <row r="23">
      <c r="A23" s="24"/>
      <c r="B23" s="24"/>
      <c r="C23" s="24"/>
      <c r="D23" s="24"/>
      <c r="E23" s="24"/>
      <c r="F23" s="24"/>
      <c r="G23" s="24"/>
      <c r="H23" s="24"/>
      <c r="I23" s="24"/>
      <c r="J23" s="24"/>
      <c r="K23" s="24"/>
      <c r="L23" s="24"/>
      <c r="M23" s="24"/>
      <c r="N23" s="24"/>
      <c r="O23" s="24"/>
      <c r="P23" s="24"/>
      <c r="Q23" s="24"/>
      <c r="R23" s="24"/>
      <c r="S23" s="24"/>
      <c r="T23" s="24"/>
      <c r="U23" s="24"/>
      <c r="V23" s="24"/>
      <c r="W23" s="24"/>
      <c r="X23" s="24"/>
    </row>
    <row r="24">
      <c r="A24" s="24"/>
      <c r="B24" s="24"/>
      <c r="C24" s="24"/>
      <c r="D24" s="24"/>
      <c r="E24" s="24"/>
      <c r="F24" s="24"/>
      <c r="G24" s="24"/>
      <c r="H24" s="24"/>
      <c r="I24" s="24"/>
      <c r="J24" s="24"/>
      <c r="K24" s="24"/>
      <c r="L24" s="24"/>
      <c r="M24" s="24"/>
      <c r="N24" s="24"/>
      <c r="O24" s="24"/>
      <c r="P24" s="24"/>
      <c r="Q24" s="24"/>
      <c r="R24" s="24"/>
      <c r="S24" s="24"/>
      <c r="T24" s="24"/>
      <c r="U24" s="24"/>
      <c r="V24" s="24"/>
      <c r="W24" s="24"/>
      <c r="X24" s="24"/>
    </row>
    <row r="25">
      <c r="A25" s="24"/>
      <c r="B25" s="24"/>
      <c r="C25" s="24"/>
      <c r="D25" s="24"/>
      <c r="E25" s="24"/>
      <c r="F25" s="24"/>
      <c r="G25" s="24"/>
      <c r="H25" s="24"/>
      <c r="I25" s="24"/>
      <c r="J25" s="24"/>
      <c r="K25" s="24"/>
      <c r="L25" s="24"/>
      <c r="M25" s="24"/>
      <c r="N25" s="24"/>
      <c r="O25" s="24"/>
      <c r="P25" s="24"/>
      <c r="Q25" s="24"/>
      <c r="R25" s="24"/>
      <c r="S25" s="24"/>
      <c r="T25" s="24"/>
      <c r="U25" s="24"/>
      <c r="V25" s="24"/>
      <c r="W25" s="24"/>
      <c r="X25" s="24"/>
    </row>
    <row r="26">
      <c r="A26" s="24"/>
      <c r="B26" s="24"/>
      <c r="C26" s="24"/>
      <c r="D26" s="24"/>
      <c r="E26" s="24"/>
      <c r="F26" s="24"/>
      <c r="G26" s="24"/>
      <c r="H26" s="24"/>
      <c r="I26" s="24"/>
      <c r="J26" s="24"/>
      <c r="K26" s="24"/>
      <c r="L26" s="24"/>
      <c r="M26" s="24"/>
      <c r="N26" s="24"/>
      <c r="O26" s="24"/>
      <c r="P26" s="24"/>
      <c r="Q26" s="24"/>
      <c r="R26" s="24"/>
      <c r="S26" s="24"/>
      <c r="T26" s="24"/>
      <c r="U26" s="24"/>
      <c r="V26" s="24"/>
      <c r="W26" s="24"/>
      <c r="X26" s="24"/>
    </row>
    <row r="27">
      <c r="A27" s="24"/>
      <c r="B27" s="24"/>
      <c r="C27" s="24"/>
      <c r="D27" s="24"/>
      <c r="E27" s="24"/>
      <c r="F27" s="24"/>
      <c r="G27" s="127"/>
      <c r="H27" s="24"/>
      <c r="I27" s="24"/>
      <c r="J27" s="24"/>
      <c r="K27" s="24"/>
      <c r="L27" s="24"/>
      <c r="M27" s="24"/>
      <c r="N27" s="24"/>
      <c r="O27" s="24"/>
      <c r="P27" s="24"/>
      <c r="Q27" s="24"/>
      <c r="R27" s="24"/>
      <c r="S27" s="24"/>
      <c r="T27" s="24"/>
      <c r="U27" s="24"/>
      <c r="V27" s="24"/>
      <c r="W27" s="24"/>
      <c r="X27" s="24"/>
    </row>
    <row r="28">
      <c r="A28" s="24"/>
      <c r="B28" s="24"/>
      <c r="C28" s="24"/>
      <c r="D28" s="24"/>
      <c r="E28" s="24"/>
      <c r="F28" s="24"/>
      <c r="G28" s="24"/>
      <c r="H28" s="24"/>
      <c r="I28" s="24"/>
      <c r="J28" s="24"/>
      <c r="K28" s="24"/>
      <c r="L28" s="24"/>
      <c r="M28" s="24"/>
      <c r="N28" s="24"/>
      <c r="O28" s="24"/>
      <c r="P28" s="24"/>
      <c r="Q28" s="24"/>
      <c r="R28" s="24"/>
      <c r="S28" s="24"/>
      <c r="T28" s="24"/>
      <c r="U28" s="24"/>
      <c r="V28" s="24"/>
      <c r="W28" s="24"/>
      <c r="X28" s="24"/>
    </row>
    <row r="29">
      <c r="A29" s="24"/>
      <c r="B29" s="24"/>
      <c r="C29" s="24"/>
      <c r="D29" s="24"/>
      <c r="E29" s="24"/>
      <c r="F29" s="24"/>
      <c r="G29" s="24"/>
      <c r="H29" s="24"/>
      <c r="I29" s="24"/>
      <c r="J29" s="24"/>
      <c r="K29" s="24"/>
      <c r="L29" s="24"/>
      <c r="M29" s="24"/>
      <c r="N29" s="24"/>
      <c r="O29" s="24"/>
      <c r="P29" s="24"/>
      <c r="Q29" s="24"/>
      <c r="R29" s="24"/>
      <c r="S29" s="24"/>
      <c r="T29" s="24"/>
      <c r="U29" s="24"/>
      <c r="V29" s="24"/>
      <c r="W29" s="24"/>
      <c r="X29" s="24"/>
    </row>
    <row r="30">
      <c r="A30" s="24"/>
      <c r="B30" s="24"/>
      <c r="C30" s="24"/>
      <c r="D30" s="24"/>
      <c r="E30" s="24"/>
      <c r="F30" s="24"/>
      <c r="G30" s="24"/>
      <c r="H30" s="24"/>
      <c r="I30" s="24"/>
      <c r="J30" s="24"/>
      <c r="K30" s="24"/>
      <c r="L30" s="24"/>
      <c r="M30" s="24"/>
      <c r="N30" s="24"/>
      <c r="O30" s="24"/>
      <c r="P30" s="24"/>
      <c r="Q30" s="24"/>
      <c r="R30" s="24"/>
      <c r="S30" s="24"/>
      <c r="T30" s="24"/>
      <c r="U30" s="24"/>
      <c r="V30" s="24"/>
      <c r="W30" s="24"/>
      <c r="X30" s="24"/>
    </row>
    <row r="31">
      <c r="A31" s="24"/>
      <c r="B31" s="24"/>
      <c r="C31" s="24"/>
      <c r="D31" s="24"/>
      <c r="E31" s="24"/>
      <c r="F31" s="24"/>
      <c r="G31" s="24"/>
      <c r="H31" s="24"/>
      <c r="I31" s="24"/>
      <c r="J31" s="24"/>
      <c r="K31" s="24"/>
      <c r="L31" s="24"/>
      <c r="M31" s="24"/>
      <c r="N31" s="24"/>
      <c r="O31" s="24"/>
      <c r="P31" s="24"/>
      <c r="Q31" s="24"/>
      <c r="R31" s="24"/>
      <c r="S31" s="24"/>
      <c r="T31" s="24"/>
      <c r="U31" s="24"/>
      <c r="V31" s="24"/>
      <c r="W31" s="24"/>
      <c r="X31" s="24"/>
    </row>
    <row r="32">
      <c r="A32" s="24"/>
      <c r="B32" s="24"/>
      <c r="C32" s="24"/>
      <c r="D32" s="24"/>
      <c r="E32" s="24"/>
      <c r="F32" s="24"/>
      <c r="G32" s="24"/>
      <c r="H32" s="24"/>
      <c r="I32" s="24"/>
      <c r="J32" s="24"/>
      <c r="K32" s="24"/>
      <c r="L32" s="24"/>
      <c r="M32" s="24"/>
      <c r="N32" s="24"/>
      <c r="O32" s="24"/>
      <c r="P32" s="24"/>
      <c r="Q32" s="24"/>
      <c r="R32" s="24"/>
      <c r="S32" s="24"/>
      <c r="T32" s="24"/>
      <c r="U32" s="24"/>
      <c r="V32" s="24"/>
      <c r="W32" s="24"/>
      <c r="X32" s="24"/>
    </row>
    <row r="33">
      <c r="A33" s="24"/>
      <c r="B33" s="24"/>
      <c r="C33" s="24"/>
      <c r="D33" s="24"/>
      <c r="E33" s="24"/>
      <c r="F33" s="24"/>
      <c r="G33" s="24"/>
      <c r="H33" s="24"/>
      <c r="I33" s="24"/>
      <c r="J33" s="24"/>
      <c r="K33" s="24"/>
      <c r="L33" s="24"/>
      <c r="M33" s="24"/>
      <c r="N33" s="24"/>
      <c r="O33" s="24"/>
      <c r="P33" s="24"/>
      <c r="Q33" s="24"/>
      <c r="R33" s="24"/>
      <c r="S33" s="24"/>
      <c r="T33" s="24"/>
      <c r="U33" s="24"/>
      <c r="V33" s="24"/>
      <c r="W33" s="24"/>
      <c r="X33" s="24"/>
    </row>
    <row r="34">
      <c r="A34" s="24"/>
      <c r="B34" s="24"/>
      <c r="C34" s="24"/>
      <c r="D34" s="24"/>
      <c r="E34" s="24"/>
      <c r="F34" s="24"/>
      <c r="G34" s="24"/>
      <c r="H34" s="24"/>
      <c r="I34" s="24"/>
      <c r="J34" s="24"/>
      <c r="K34" s="24"/>
      <c r="L34" s="24"/>
      <c r="M34" s="24"/>
      <c r="N34" s="24"/>
      <c r="O34" s="24"/>
      <c r="P34" s="24"/>
      <c r="Q34" s="24"/>
      <c r="R34" s="24"/>
      <c r="S34" s="24"/>
      <c r="T34" s="24"/>
      <c r="U34" s="24"/>
      <c r="V34" s="24"/>
      <c r="W34" s="24"/>
      <c r="X34" s="24"/>
    </row>
    <row r="35">
      <c r="A35" s="24"/>
      <c r="B35" s="24"/>
      <c r="C35" s="24"/>
      <c r="D35" s="24"/>
      <c r="E35" s="24"/>
      <c r="F35" s="24"/>
      <c r="G35" s="24"/>
      <c r="H35" s="24"/>
      <c r="I35" s="24"/>
      <c r="J35" s="24"/>
      <c r="K35" s="24"/>
      <c r="L35" s="24"/>
      <c r="M35" s="24"/>
      <c r="N35" s="24"/>
      <c r="O35" s="24"/>
      <c r="P35" s="24"/>
      <c r="Q35" s="24"/>
      <c r="R35" s="24"/>
      <c r="S35" s="24"/>
      <c r="T35" s="24"/>
      <c r="U35" s="24"/>
      <c r="V35" s="24"/>
      <c r="W35" s="24"/>
      <c r="X35" s="24"/>
    </row>
    <row r="36">
      <c r="A36" s="24"/>
      <c r="B36" s="24"/>
      <c r="C36" s="24"/>
      <c r="D36" s="24"/>
      <c r="E36" s="24"/>
      <c r="F36" s="24"/>
      <c r="G36" s="24"/>
      <c r="H36" s="24"/>
      <c r="I36" s="24"/>
      <c r="J36" s="24"/>
      <c r="K36" s="24"/>
      <c r="L36" s="24"/>
      <c r="M36" s="24"/>
      <c r="N36" s="24"/>
      <c r="O36" s="24"/>
      <c r="P36" s="24"/>
      <c r="Q36" s="24"/>
      <c r="R36" s="24"/>
      <c r="S36" s="24"/>
      <c r="T36" s="24"/>
      <c r="U36" s="24"/>
      <c r="V36" s="24"/>
      <c r="W36" s="24"/>
      <c r="X36" s="24"/>
    </row>
    <row r="37">
      <c r="A37" s="24"/>
      <c r="B37" s="24"/>
      <c r="C37" s="24"/>
      <c r="D37" s="24"/>
      <c r="E37" s="24"/>
      <c r="F37" s="24"/>
      <c r="G37" s="24"/>
      <c r="H37" s="24"/>
      <c r="I37" s="24"/>
      <c r="J37" s="24"/>
      <c r="K37" s="24"/>
      <c r="L37" s="24"/>
      <c r="M37" s="24"/>
      <c r="N37" s="24"/>
      <c r="O37" s="24"/>
      <c r="P37" s="24"/>
      <c r="Q37" s="24"/>
      <c r="R37" s="24"/>
      <c r="S37" s="24"/>
      <c r="T37" s="24"/>
      <c r="U37" s="24"/>
      <c r="V37" s="24"/>
      <c r="W37" s="24"/>
      <c r="X37" s="24"/>
    </row>
    <row r="38">
      <c r="A38" s="24"/>
      <c r="B38" s="24"/>
      <c r="C38" s="24"/>
      <c r="D38" s="24"/>
      <c r="E38" s="24"/>
      <c r="F38" s="24"/>
      <c r="G38" s="24"/>
      <c r="H38" s="24"/>
      <c r="I38" s="24"/>
      <c r="J38" s="24"/>
      <c r="K38" s="24"/>
      <c r="L38" s="24"/>
      <c r="M38" s="24"/>
      <c r="N38" s="24"/>
      <c r="O38" s="24"/>
      <c r="P38" s="24"/>
      <c r="Q38" s="24"/>
      <c r="R38" s="24"/>
      <c r="S38" s="24"/>
      <c r="T38" s="24"/>
      <c r="U38" s="24"/>
      <c r="V38" s="24"/>
      <c r="W38" s="24"/>
      <c r="X38" s="24"/>
    </row>
    <row r="39">
      <c r="A39" s="24"/>
      <c r="B39" s="24"/>
      <c r="C39" s="24"/>
      <c r="D39" s="24"/>
      <c r="E39" s="24"/>
      <c r="F39" s="24"/>
      <c r="G39" s="24"/>
      <c r="H39" s="24"/>
      <c r="I39" s="24"/>
      <c r="J39" s="24"/>
      <c r="K39" s="24"/>
      <c r="L39" s="24"/>
      <c r="M39" s="24"/>
      <c r="N39" s="24"/>
      <c r="O39" s="24"/>
      <c r="P39" s="24"/>
      <c r="Q39" s="24"/>
      <c r="R39" s="24"/>
      <c r="S39" s="24"/>
      <c r="T39" s="24"/>
      <c r="U39" s="24"/>
      <c r="V39" s="24"/>
      <c r="W39" s="24"/>
      <c r="X39" s="24"/>
    </row>
    <row r="40">
      <c r="A40" s="24"/>
      <c r="B40" s="24"/>
      <c r="C40" s="24"/>
      <c r="D40" s="24"/>
      <c r="E40" s="24"/>
      <c r="F40" s="24"/>
      <c r="G40" s="24"/>
      <c r="H40" s="24"/>
      <c r="I40" s="24"/>
      <c r="J40" s="24"/>
      <c r="K40" s="24"/>
      <c r="L40" s="24"/>
      <c r="M40" s="24"/>
      <c r="N40" s="24"/>
      <c r="O40" s="24"/>
      <c r="P40" s="24"/>
      <c r="Q40" s="24"/>
      <c r="R40" s="24"/>
      <c r="S40" s="24"/>
      <c r="T40" s="24"/>
      <c r="U40" s="24"/>
      <c r="V40" s="24"/>
      <c r="W40" s="24"/>
      <c r="X40" s="24"/>
    </row>
    <row r="41">
      <c r="A41" s="24"/>
      <c r="B41" s="24"/>
      <c r="C41" s="24"/>
      <c r="D41" s="24"/>
      <c r="E41" s="24"/>
      <c r="F41" s="24"/>
      <c r="G41" s="24"/>
      <c r="H41" s="24"/>
      <c r="I41" s="24"/>
      <c r="J41" s="24"/>
      <c r="K41" s="24"/>
      <c r="L41" s="24"/>
      <c r="M41" s="24"/>
      <c r="N41" s="24"/>
      <c r="O41" s="24"/>
      <c r="P41" s="24"/>
      <c r="Q41" s="24"/>
      <c r="R41" s="24"/>
      <c r="S41" s="24"/>
      <c r="T41" s="24"/>
      <c r="U41" s="24"/>
      <c r="V41" s="24"/>
      <c r="W41" s="24"/>
      <c r="X41" s="24"/>
    </row>
    <row r="42">
      <c r="A42" s="24"/>
      <c r="B42" s="24"/>
      <c r="C42" s="24"/>
      <c r="D42" s="24"/>
      <c r="E42" s="24"/>
      <c r="F42" s="24"/>
      <c r="G42" s="24"/>
      <c r="H42" s="24"/>
      <c r="I42" s="24"/>
      <c r="J42" s="24"/>
      <c r="K42" s="24"/>
      <c r="L42" s="24"/>
      <c r="M42" s="24"/>
      <c r="N42" s="24"/>
      <c r="O42" s="24"/>
      <c r="P42" s="24"/>
      <c r="Q42" s="24"/>
      <c r="R42" s="24"/>
      <c r="S42" s="24"/>
      <c r="T42" s="24"/>
      <c r="U42" s="24"/>
      <c r="V42" s="24"/>
      <c r="W42" s="24"/>
      <c r="X42" s="24"/>
    </row>
    <row r="43">
      <c r="A43" s="24"/>
      <c r="B43" s="24"/>
      <c r="C43" s="24"/>
      <c r="D43" s="24"/>
      <c r="E43" s="24"/>
      <c r="F43" s="24"/>
      <c r="G43" s="24"/>
      <c r="H43" s="24"/>
      <c r="I43" s="24"/>
      <c r="J43" s="24"/>
      <c r="K43" s="24"/>
      <c r="L43" s="24"/>
      <c r="M43" s="24"/>
      <c r="N43" s="24"/>
      <c r="O43" s="24"/>
      <c r="P43" s="24"/>
      <c r="Q43" s="24"/>
      <c r="R43" s="24"/>
      <c r="S43" s="24"/>
      <c r="T43" s="24"/>
      <c r="U43" s="24"/>
      <c r="V43" s="24"/>
      <c r="W43" s="24"/>
      <c r="X43" s="24"/>
    </row>
    <row r="44">
      <c r="A44" s="24"/>
      <c r="B44" s="24"/>
      <c r="C44" s="24"/>
      <c r="D44" s="24"/>
      <c r="E44" s="24"/>
      <c r="F44" s="24"/>
      <c r="G44" s="24"/>
      <c r="H44" s="24"/>
      <c r="I44" s="24"/>
      <c r="J44" s="24"/>
      <c r="K44" s="24"/>
      <c r="L44" s="24"/>
      <c r="M44" s="24"/>
      <c r="N44" s="24"/>
      <c r="O44" s="24"/>
      <c r="P44" s="24"/>
      <c r="Q44" s="24"/>
      <c r="R44" s="24"/>
      <c r="S44" s="24"/>
      <c r="T44" s="24"/>
      <c r="U44" s="24"/>
      <c r="V44" s="24"/>
      <c r="W44" s="24"/>
      <c r="X44" s="24"/>
    </row>
    <row r="45">
      <c r="A45" s="24"/>
      <c r="B45" s="24"/>
      <c r="C45" s="24"/>
      <c r="D45" s="24"/>
      <c r="E45" s="24"/>
      <c r="F45" s="24"/>
      <c r="G45" s="24"/>
      <c r="H45" s="24"/>
      <c r="I45" s="24"/>
      <c r="J45" s="24"/>
      <c r="K45" s="24"/>
      <c r="L45" s="24"/>
      <c r="M45" s="24"/>
      <c r="N45" s="24"/>
      <c r="O45" s="24"/>
      <c r="P45" s="24"/>
      <c r="Q45" s="24"/>
      <c r="R45" s="24"/>
      <c r="S45" s="24"/>
      <c r="T45" s="24"/>
      <c r="U45" s="24"/>
      <c r="V45" s="24"/>
      <c r="W45" s="24"/>
      <c r="X45" s="24"/>
    </row>
    <row r="46">
      <c r="A46" s="24"/>
      <c r="B46" s="24"/>
      <c r="C46" s="24"/>
      <c r="D46" s="24"/>
      <c r="E46" s="24"/>
      <c r="F46" s="24"/>
      <c r="G46" s="24"/>
      <c r="H46" s="24"/>
      <c r="I46" s="24"/>
      <c r="J46" s="24"/>
      <c r="K46" s="24"/>
      <c r="L46" s="24"/>
      <c r="M46" s="24"/>
      <c r="N46" s="24"/>
      <c r="O46" s="24"/>
      <c r="P46" s="24"/>
      <c r="Q46" s="24"/>
      <c r="R46" s="24"/>
      <c r="S46" s="24"/>
      <c r="T46" s="24"/>
      <c r="U46" s="24"/>
      <c r="V46" s="24"/>
      <c r="W46" s="24"/>
      <c r="X46" s="24"/>
    </row>
    <row r="47">
      <c r="A47" s="24"/>
      <c r="B47" s="24"/>
      <c r="C47" s="24"/>
      <c r="D47" s="24"/>
      <c r="E47" s="24"/>
      <c r="F47" s="24"/>
      <c r="G47" s="24"/>
      <c r="H47" s="24"/>
      <c r="I47" s="24"/>
      <c r="J47" s="24"/>
      <c r="K47" s="24"/>
      <c r="L47" s="24"/>
      <c r="M47" s="24"/>
      <c r="N47" s="24"/>
      <c r="O47" s="24"/>
      <c r="P47" s="24"/>
      <c r="Q47" s="24"/>
      <c r="R47" s="24"/>
      <c r="S47" s="24"/>
      <c r="T47" s="24"/>
      <c r="U47" s="24"/>
      <c r="V47" s="24"/>
      <c r="W47" s="24"/>
      <c r="X47" s="24"/>
    </row>
    <row r="48">
      <c r="A48" s="24"/>
      <c r="B48" s="24"/>
      <c r="C48" s="24"/>
      <c r="D48" s="24"/>
      <c r="E48" s="24"/>
      <c r="F48" s="24"/>
      <c r="G48" s="24"/>
      <c r="H48" s="24"/>
      <c r="I48" s="24"/>
      <c r="J48" s="24"/>
      <c r="K48" s="24"/>
      <c r="L48" s="24"/>
      <c r="M48" s="24"/>
      <c r="N48" s="24"/>
      <c r="O48" s="24"/>
      <c r="P48" s="24"/>
      <c r="Q48" s="24"/>
      <c r="R48" s="24"/>
      <c r="S48" s="24"/>
      <c r="T48" s="24"/>
      <c r="U48" s="24"/>
      <c r="V48" s="24"/>
      <c r="W48" s="24"/>
      <c r="X48" s="24"/>
    </row>
    <row r="49">
      <c r="A49" s="24"/>
      <c r="B49" s="24"/>
      <c r="C49" s="24"/>
      <c r="D49" s="24"/>
      <c r="E49" s="24"/>
      <c r="F49" s="24"/>
      <c r="G49" s="24"/>
      <c r="H49" s="24"/>
      <c r="I49" s="24"/>
      <c r="J49" s="24"/>
      <c r="K49" s="24"/>
      <c r="L49" s="24"/>
      <c r="M49" s="24"/>
      <c r="N49" s="24"/>
      <c r="O49" s="24"/>
      <c r="P49" s="24"/>
      <c r="Q49" s="24"/>
      <c r="R49" s="24"/>
      <c r="S49" s="24"/>
      <c r="T49" s="24"/>
      <c r="U49" s="24"/>
      <c r="V49" s="24"/>
      <c r="W49" s="24"/>
      <c r="X49" s="24"/>
    </row>
    <row r="50">
      <c r="A50" s="24"/>
      <c r="B50" s="24"/>
      <c r="C50" s="24"/>
      <c r="D50" s="24"/>
      <c r="E50" s="24"/>
      <c r="F50" s="24"/>
      <c r="G50" s="24"/>
      <c r="H50" s="24"/>
      <c r="I50" s="24"/>
      <c r="J50" s="24"/>
      <c r="K50" s="24"/>
      <c r="L50" s="24"/>
      <c r="M50" s="24"/>
      <c r="N50" s="24"/>
      <c r="O50" s="24"/>
      <c r="P50" s="24"/>
      <c r="Q50" s="24"/>
      <c r="R50" s="24"/>
      <c r="S50" s="24"/>
      <c r="T50" s="24"/>
      <c r="U50" s="24"/>
      <c r="V50" s="24"/>
      <c r="W50" s="24"/>
      <c r="X50" s="24"/>
    </row>
    <row r="51">
      <c r="A51" s="24"/>
      <c r="B51" s="24"/>
      <c r="C51" s="24"/>
      <c r="D51" s="24"/>
      <c r="E51" s="24"/>
      <c r="F51" s="24"/>
      <c r="G51" s="24"/>
      <c r="H51" s="24"/>
      <c r="I51" s="24"/>
      <c r="J51" s="24"/>
      <c r="K51" s="24"/>
      <c r="L51" s="24"/>
      <c r="M51" s="24"/>
      <c r="N51" s="24"/>
      <c r="O51" s="24"/>
      <c r="P51" s="24"/>
      <c r="Q51" s="24"/>
      <c r="R51" s="24"/>
      <c r="S51" s="24"/>
      <c r="T51" s="24"/>
      <c r="U51" s="24"/>
      <c r="V51" s="24"/>
      <c r="W51" s="24"/>
      <c r="X51" s="24"/>
    </row>
    <row r="52">
      <c r="A52" s="24"/>
      <c r="B52" s="24"/>
      <c r="C52" s="24"/>
      <c r="D52" s="24"/>
      <c r="E52" s="24"/>
      <c r="F52" s="24"/>
      <c r="G52" s="24"/>
      <c r="H52" s="24"/>
      <c r="I52" s="24"/>
      <c r="J52" s="24"/>
      <c r="K52" s="24"/>
      <c r="L52" s="24"/>
      <c r="M52" s="24"/>
      <c r="N52" s="24"/>
      <c r="O52" s="24"/>
      <c r="P52" s="24"/>
      <c r="Q52" s="24"/>
      <c r="R52" s="24"/>
      <c r="S52" s="24"/>
      <c r="T52" s="24"/>
      <c r="U52" s="24"/>
      <c r="V52" s="24"/>
      <c r="W52" s="24"/>
      <c r="X52" s="24"/>
    </row>
    <row r="53">
      <c r="A53" s="24"/>
      <c r="B53" s="24"/>
      <c r="C53" s="24"/>
      <c r="D53" s="24"/>
      <c r="E53" s="24"/>
      <c r="F53" s="24"/>
      <c r="G53" s="24"/>
      <c r="H53" s="24"/>
      <c r="I53" s="24"/>
      <c r="J53" s="24"/>
      <c r="K53" s="24"/>
      <c r="L53" s="24"/>
      <c r="M53" s="24"/>
      <c r="N53" s="24"/>
      <c r="O53" s="24"/>
      <c r="P53" s="24"/>
      <c r="Q53" s="24"/>
      <c r="R53" s="24"/>
      <c r="S53" s="24"/>
      <c r="T53" s="24"/>
      <c r="U53" s="24"/>
      <c r="V53" s="24"/>
      <c r="W53" s="24"/>
      <c r="X53" s="24"/>
    </row>
    <row r="54">
      <c r="A54" s="24"/>
      <c r="B54" s="24"/>
      <c r="C54" s="24"/>
      <c r="D54" s="24"/>
      <c r="E54" s="24"/>
      <c r="F54" s="24"/>
      <c r="G54" s="24"/>
      <c r="H54" s="24"/>
      <c r="I54" s="24"/>
      <c r="J54" s="24"/>
      <c r="K54" s="24"/>
      <c r="L54" s="24"/>
      <c r="M54" s="24"/>
      <c r="N54" s="24"/>
      <c r="O54" s="24"/>
      <c r="P54" s="24"/>
      <c r="Q54" s="24"/>
      <c r="R54" s="24"/>
      <c r="S54" s="24"/>
      <c r="T54" s="24"/>
      <c r="U54" s="24"/>
      <c r="V54" s="24"/>
      <c r="W54" s="24"/>
      <c r="X54" s="24"/>
    </row>
    <row r="55">
      <c r="A55" s="24"/>
      <c r="B55" s="24"/>
      <c r="C55" s="24"/>
      <c r="D55" s="24"/>
      <c r="E55" s="24"/>
      <c r="F55" s="24"/>
      <c r="G55" s="24"/>
      <c r="H55" s="24"/>
      <c r="I55" s="24"/>
      <c r="J55" s="24"/>
      <c r="K55" s="24"/>
      <c r="L55" s="24"/>
      <c r="M55" s="24"/>
      <c r="N55" s="24"/>
      <c r="O55" s="24"/>
      <c r="P55" s="24"/>
      <c r="Q55" s="24"/>
      <c r="R55" s="24"/>
      <c r="S55" s="24"/>
      <c r="T55" s="24"/>
      <c r="U55" s="24"/>
      <c r="V55" s="24"/>
      <c r="W55" s="24"/>
      <c r="X55" s="24"/>
    </row>
    <row r="56">
      <c r="A56" s="24"/>
      <c r="B56" s="24"/>
      <c r="C56" s="24"/>
      <c r="D56" s="24"/>
      <c r="E56" s="24"/>
      <c r="F56" s="24"/>
      <c r="G56" s="24"/>
      <c r="H56" s="24"/>
      <c r="I56" s="24"/>
      <c r="J56" s="24"/>
      <c r="K56" s="24"/>
      <c r="L56" s="24"/>
      <c r="M56" s="24"/>
      <c r="N56" s="24"/>
      <c r="O56" s="24"/>
      <c r="P56" s="24"/>
      <c r="Q56" s="24"/>
      <c r="R56" s="24"/>
      <c r="S56" s="24"/>
      <c r="T56" s="24"/>
      <c r="U56" s="24"/>
      <c r="V56" s="24"/>
      <c r="W56" s="24"/>
      <c r="X56" s="24"/>
    </row>
    <row r="57">
      <c r="A57" s="24"/>
      <c r="B57" s="24"/>
      <c r="C57" s="24"/>
      <c r="D57" s="24"/>
      <c r="E57" s="24"/>
      <c r="F57" s="24"/>
      <c r="G57" s="24"/>
      <c r="H57" s="24"/>
      <c r="I57" s="24"/>
      <c r="J57" s="24"/>
      <c r="K57" s="24"/>
      <c r="L57" s="24"/>
      <c r="M57" s="24"/>
      <c r="N57" s="24"/>
      <c r="O57" s="24"/>
      <c r="P57" s="24"/>
      <c r="Q57" s="24"/>
      <c r="R57" s="24"/>
      <c r="S57" s="24"/>
      <c r="T57" s="24"/>
      <c r="U57" s="24"/>
      <c r="V57" s="24"/>
      <c r="W57" s="24"/>
      <c r="X57" s="24"/>
    </row>
    <row r="58">
      <c r="A58" s="24"/>
      <c r="B58" s="24"/>
      <c r="C58" s="24"/>
      <c r="D58" s="24"/>
      <c r="E58" s="24"/>
      <c r="F58" s="24"/>
      <c r="G58" s="24"/>
      <c r="H58" s="24"/>
      <c r="I58" s="24"/>
      <c r="J58" s="24"/>
      <c r="K58" s="24"/>
      <c r="L58" s="24"/>
      <c r="M58" s="24"/>
      <c r="N58" s="24"/>
      <c r="O58" s="24"/>
      <c r="P58" s="24"/>
      <c r="Q58" s="24"/>
      <c r="R58" s="24"/>
      <c r="S58" s="24"/>
      <c r="T58" s="24"/>
      <c r="U58" s="24"/>
      <c r="V58" s="24"/>
      <c r="W58" s="24"/>
      <c r="X58" s="24"/>
    </row>
    <row r="59">
      <c r="A59" s="24"/>
      <c r="B59" s="24"/>
      <c r="C59" s="24"/>
      <c r="D59" s="24"/>
      <c r="E59" s="24"/>
      <c r="F59" s="24"/>
      <c r="G59" s="24"/>
      <c r="H59" s="24"/>
      <c r="I59" s="24"/>
      <c r="J59" s="24"/>
      <c r="K59" s="24"/>
      <c r="L59" s="24"/>
      <c r="M59" s="24"/>
      <c r="N59" s="24"/>
      <c r="O59" s="24"/>
      <c r="P59" s="24"/>
      <c r="Q59" s="24"/>
      <c r="R59" s="24"/>
      <c r="S59" s="24"/>
      <c r="T59" s="24"/>
      <c r="U59" s="24"/>
      <c r="V59" s="24"/>
      <c r="W59" s="24"/>
      <c r="X59" s="24"/>
    </row>
    <row r="60">
      <c r="A60" s="24"/>
      <c r="B60" s="24"/>
      <c r="C60" s="24"/>
      <c r="D60" s="24"/>
      <c r="E60" s="24"/>
      <c r="F60" s="24"/>
      <c r="G60" s="24"/>
      <c r="H60" s="24"/>
      <c r="I60" s="24"/>
      <c r="J60" s="24"/>
      <c r="K60" s="24"/>
      <c r="L60" s="24"/>
      <c r="M60" s="24"/>
      <c r="N60" s="24"/>
      <c r="O60" s="24"/>
      <c r="P60" s="24"/>
      <c r="Q60" s="24"/>
      <c r="R60" s="24"/>
      <c r="S60" s="24"/>
      <c r="T60" s="24"/>
      <c r="U60" s="24"/>
      <c r="V60" s="24"/>
      <c r="W60" s="24"/>
      <c r="X60" s="24"/>
    </row>
    <row r="61">
      <c r="A61" s="24"/>
      <c r="B61" s="24"/>
      <c r="C61" s="24"/>
      <c r="D61" s="24"/>
      <c r="E61" s="24"/>
      <c r="F61" s="24"/>
      <c r="G61" s="24"/>
      <c r="H61" s="24"/>
      <c r="I61" s="24"/>
      <c r="J61" s="24"/>
      <c r="K61" s="24"/>
      <c r="L61" s="24"/>
      <c r="M61" s="24"/>
      <c r="N61" s="24"/>
      <c r="O61" s="24"/>
      <c r="P61" s="24"/>
      <c r="Q61" s="24"/>
      <c r="R61" s="24"/>
      <c r="S61" s="24"/>
      <c r="T61" s="24"/>
      <c r="U61" s="24"/>
      <c r="V61" s="24"/>
      <c r="W61" s="24"/>
      <c r="X61" s="24"/>
    </row>
    <row r="62">
      <c r="A62" s="24"/>
      <c r="B62" s="24"/>
      <c r="C62" s="24"/>
      <c r="D62" s="24"/>
      <c r="E62" s="24"/>
      <c r="F62" s="24"/>
      <c r="G62" s="24"/>
      <c r="H62" s="24"/>
      <c r="I62" s="24"/>
      <c r="J62" s="24"/>
      <c r="K62" s="24"/>
      <c r="L62" s="24"/>
      <c r="M62" s="24"/>
      <c r="N62" s="24"/>
      <c r="O62" s="24"/>
      <c r="P62" s="24"/>
      <c r="Q62" s="24"/>
      <c r="R62" s="24"/>
      <c r="S62" s="24"/>
      <c r="T62" s="24"/>
      <c r="U62" s="24"/>
      <c r="V62" s="24"/>
      <c r="W62" s="24"/>
      <c r="X62" s="24"/>
    </row>
    <row r="63">
      <c r="A63" s="24"/>
      <c r="B63" s="24"/>
      <c r="C63" s="24"/>
      <c r="D63" s="24"/>
      <c r="E63" s="24"/>
      <c r="F63" s="24"/>
      <c r="G63" s="24"/>
      <c r="H63" s="24"/>
      <c r="I63" s="24"/>
      <c r="J63" s="24"/>
      <c r="K63" s="24"/>
      <c r="L63" s="24"/>
      <c r="M63" s="24"/>
      <c r="N63" s="24"/>
      <c r="O63" s="24"/>
      <c r="P63" s="24"/>
      <c r="Q63" s="24"/>
      <c r="R63" s="24"/>
      <c r="S63" s="24"/>
      <c r="T63" s="24"/>
      <c r="U63" s="24"/>
      <c r="V63" s="24"/>
      <c r="W63" s="24"/>
      <c r="X63" s="24"/>
    </row>
    <row r="64">
      <c r="A64" s="24"/>
      <c r="B64" s="24"/>
      <c r="C64" s="24"/>
      <c r="D64" s="24"/>
      <c r="E64" s="24"/>
      <c r="F64" s="24"/>
      <c r="G64" s="24"/>
      <c r="H64" s="24"/>
      <c r="I64" s="24"/>
      <c r="J64" s="24"/>
      <c r="K64" s="24"/>
      <c r="L64" s="24"/>
      <c r="M64" s="24"/>
      <c r="N64" s="24"/>
      <c r="O64" s="24"/>
      <c r="P64" s="24"/>
      <c r="Q64" s="24"/>
      <c r="R64" s="24"/>
      <c r="S64" s="24"/>
      <c r="T64" s="24"/>
      <c r="U64" s="24"/>
      <c r="V64" s="24"/>
      <c r="W64" s="24"/>
      <c r="X64" s="24"/>
    </row>
    <row r="65">
      <c r="A65" s="24"/>
      <c r="B65" s="24"/>
      <c r="C65" s="24"/>
      <c r="D65" s="24"/>
      <c r="E65" s="24"/>
      <c r="F65" s="24"/>
      <c r="G65" s="24"/>
      <c r="H65" s="24"/>
      <c r="I65" s="24"/>
      <c r="J65" s="24"/>
      <c r="K65" s="24"/>
      <c r="L65" s="24"/>
      <c r="M65" s="24"/>
      <c r="N65" s="24"/>
      <c r="O65" s="24"/>
      <c r="P65" s="24"/>
      <c r="Q65" s="24"/>
      <c r="R65" s="24"/>
      <c r="S65" s="24"/>
      <c r="T65" s="24"/>
      <c r="U65" s="24"/>
      <c r="V65" s="24"/>
      <c r="W65" s="24"/>
      <c r="X65" s="24"/>
    </row>
    <row r="66">
      <c r="A66" s="24"/>
      <c r="B66" s="24"/>
      <c r="C66" s="24"/>
      <c r="D66" s="24"/>
      <c r="E66" s="24"/>
      <c r="F66" s="24"/>
      <c r="G66" s="24"/>
      <c r="H66" s="24"/>
      <c r="I66" s="24"/>
      <c r="J66" s="24"/>
      <c r="K66" s="24"/>
      <c r="L66" s="24"/>
      <c r="M66" s="24"/>
      <c r="N66" s="24"/>
      <c r="O66" s="24"/>
      <c r="P66" s="24"/>
      <c r="Q66" s="24"/>
      <c r="R66" s="24"/>
      <c r="S66" s="24"/>
      <c r="T66" s="24"/>
      <c r="U66" s="24"/>
      <c r="V66" s="24"/>
      <c r="W66" s="24"/>
      <c r="X66" s="24"/>
    </row>
    <row r="67">
      <c r="A67" s="24"/>
      <c r="B67" s="24"/>
      <c r="C67" s="24"/>
      <c r="D67" s="24"/>
      <c r="E67" s="24"/>
      <c r="F67" s="24"/>
      <c r="G67" s="24"/>
      <c r="H67" s="24"/>
      <c r="I67" s="24"/>
      <c r="J67" s="24"/>
      <c r="K67" s="24"/>
      <c r="L67" s="24"/>
      <c r="M67" s="24"/>
      <c r="N67" s="24"/>
      <c r="O67" s="24"/>
      <c r="P67" s="24"/>
      <c r="Q67" s="24"/>
      <c r="R67" s="24"/>
      <c r="S67" s="24"/>
      <c r="T67" s="24"/>
      <c r="U67" s="24"/>
      <c r="V67" s="24"/>
      <c r="W67" s="24"/>
      <c r="X67" s="24"/>
    </row>
    <row r="68">
      <c r="A68" s="24"/>
      <c r="B68" s="24"/>
      <c r="C68" s="24"/>
      <c r="D68" s="24"/>
      <c r="E68" s="24"/>
      <c r="F68" s="24"/>
      <c r="G68" s="24"/>
      <c r="H68" s="24"/>
      <c r="I68" s="24"/>
      <c r="J68" s="24"/>
      <c r="K68" s="24"/>
      <c r="L68" s="24"/>
      <c r="M68" s="24"/>
      <c r="N68" s="24"/>
      <c r="O68" s="24"/>
      <c r="P68" s="24"/>
      <c r="Q68" s="24"/>
      <c r="R68" s="24"/>
      <c r="S68" s="24"/>
      <c r="T68" s="24"/>
      <c r="U68" s="24"/>
      <c r="V68" s="24"/>
      <c r="W68" s="24"/>
      <c r="X68" s="24"/>
    </row>
    <row r="69">
      <c r="A69" s="24"/>
      <c r="B69" s="24"/>
      <c r="C69" s="24"/>
      <c r="D69" s="24"/>
      <c r="E69" s="24"/>
      <c r="F69" s="24"/>
      <c r="G69" s="24"/>
      <c r="H69" s="24"/>
      <c r="I69" s="24"/>
      <c r="J69" s="24"/>
      <c r="K69" s="24"/>
      <c r="L69" s="24"/>
      <c r="M69" s="24"/>
      <c r="N69" s="24"/>
      <c r="O69" s="24"/>
      <c r="P69" s="24"/>
      <c r="Q69" s="24"/>
      <c r="R69" s="24"/>
      <c r="S69" s="24"/>
      <c r="T69" s="24"/>
      <c r="U69" s="24"/>
      <c r="V69" s="24"/>
      <c r="W69" s="24"/>
      <c r="X69" s="24"/>
    </row>
    <row r="70">
      <c r="A70" s="24"/>
      <c r="B70" s="24"/>
      <c r="C70" s="24"/>
      <c r="D70" s="24"/>
      <c r="E70" s="24"/>
      <c r="F70" s="24"/>
      <c r="G70" s="24"/>
      <c r="H70" s="24"/>
      <c r="I70" s="24"/>
      <c r="J70" s="24"/>
      <c r="K70" s="24"/>
      <c r="L70" s="24"/>
      <c r="M70" s="24"/>
      <c r="N70" s="24"/>
      <c r="O70" s="24"/>
      <c r="P70" s="24"/>
      <c r="Q70" s="24"/>
      <c r="R70" s="24"/>
      <c r="S70" s="24"/>
      <c r="T70" s="24"/>
      <c r="U70" s="24"/>
      <c r="V70" s="24"/>
      <c r="W70" s="24"/>
      <c r="X70" s="24"/>
    </row>
    <row r="71">
      <c r="A71" s="24"/>
      <c r="B71" s="24"/>
      <c r="C71" s="24"/>
      <c r="D71" s="24"/>
      <c r="E71" s="24"/>
      <c r="F71" s="24"/>
      <c r="G71" s="24"/>
      <c r="H71" s="24"/>
      <c r="I71" s="24"/>
      <c r="J71" s="24"/>
      <c r="K71" s="24"/>
      <c r="L71" s="24"/>
      <c r="M71" s="24"/>
      <c r="N71" s="24"/>
      <c r="O71" s="24"/>
      <c r="P71" s="24"/>
      <c r="Q71" s="24"/>
      <c r="R71" s="24"/>
      <c r="S71" s="24"/>
      <c r="T71" s="24"/>
      <c r="U71" s="24"/>
      <c r="V71" s="24"/>
      <c r="W71" s="24"/>
      <c r="X71" s="24"/>
    </row>
    <row r="72">
      <c r="A72" s="24"/>
      <c r="B72" s="24"/>
      <c r="C72" s="24"/>
      <c r="D72" s="24"/>
      <c r="E72" s="24"/>
      <c r="F72" s="24"/>
      <c r="G72" s="24"/>
      <c r="H72" s="24"/>
      <c r="I72" s="24"/>
      <c r="J72" s="24"/>
      <c r="K72" s="24"/>
      <c r="L72" s="24"/>
      <c r="M72" s="24"/>
      <c r="N72" s="24"/>
      <c r="O72" s="24"/>
      <c r="P72" s="24"/>
      <c r="Q72" s="24"/>
      <c r="R72" s="24"/>
      <c r="S72" s="24"/>
      <c r="T72" s="24"/>
      <c r="U72" s="24"/>
      <c r="V72" s="24"/>
      <c r="W72" s="24"/>
      <c r="X72" s="24"/>
    </row>
    <row r="73">
      <c r="A73" s="24"/>
      <c r="B73" s="24"/>
      <c r="C73" s="24"/>
      <c r="D73" s="24"/>
      <c r="E73" s="24"/>
      <c r="F73" s="24"/>
      <c r="G73" s="24"/>
      <c r="H73" s="24"/>
      <c r="I73" s="24"/>
      <c r="J73" s="24"/>
      <c r="K73" s="24"/>
      <c r="L73" s="24"/>
      <c r="M73" s="24"/>
      <c r="N73" s="24"/>
      <c r="O73" s="24"/>
      <c r="P73" s="24"/>
      <c r="Q73" s="24"/>
      <c r="R73" s="24"/>
      <c r="S73" s="24"/>
      <c r="T73" s="24"/>
      <c r="U73" s="24"/>
      <c r="V73" s="24"/>
      <c r="W73" s="24"/>
      <c r="X73" s="24"/>
    </row>
    <row r="74">
      <c r="A74" s="24"/>
      <c r="B74" s="24"/>
      <c r="C74" s="24"/>
      <c r="D74" s="24"/>
      <c r="E74" s="24"/>
      <c r="F74" s="24"/>
      <c r="G74" s="24"/>
      <c r="H74" s="24"/>
      <c r="I74" s="24"/>
      <c r="J74" s="24"/>
      <c r="K74" s="24"/>
      <c r="L74" s="24"/>
      <c r="M74" s="24"/>
      <c r="N74" s="24"/>
      <c r="O74" s="24"/>
      <c r="P74" s="24"/>
      <c r="Q74" s="24"/>
      <c r="R74" s="24"/>
      <c r="S74" s="24"/>
      <c r="T74" s="24"/>
      <c r="U74" s="24"/>
      <c r="V74" s="24"/>
      <c r="W74" s="24"/>
      <c r="X74" s="24"/>
    </row>
    <row r="75">
      <c r="A75" s="24"/>
      <c r="B75" s="24"/>
      <c r="C75" s="24"/>
      <c r="D75" s="24"/>
      <c r="E75" s="24"/>
      <c r="F75" s="24"/>
      <c r="G75" s="24"/>
      <c r="H75" s="24"/>
      <c r="I75" s="24"/>
      <c r="J75" s="24"/>
      <c r="K75" s="24"/>
      <c r="L75" s="24"/>
      <c r="M75" s="24"/>
      <c r="N75" s="24"/>
      <c r="O75" s="24"/>
      <c r="P75" s="24"/>
      <c r="Q75" s="24"/>
      <c r="R75" s="24"/>
      <c r="S75" s="24"/>
      <c r="T75" s="24"/>
      <c r="U75" s="24"/>
      <c r="V75" s="24"/>
      <c r="W75" s="24"/>
      <c r="X75" s="24"/>
    </row>
    <row r="76">
      <c r="A76" s="24"/>
      <c r="B76" s="24"/>
      <c r="C76" s="24"/>
      <c r="D76" s="24"/>
      <c r="E76" s="24"/>
      <c r="F76" s="24"/>
      <c r="G76" s="24"/>
      <c r="H76" s="24"/>
      <c r="I76" s="24"/>
      <c r="J76" s="24"/>
      <c r="K76" s="24"/>
      <c r="L76" s="24"/>
      <c r="M76" s="24"/>
      <c r="N76" s="24"/>
      <c r="O76" s="24"/>
      <c r="P76" s="24"/>
      <c r="Q76" s="24"/>
      <c r="R76" s="24"/>
      <c r="S76" s="24"/>
      <c r="T76" s="24"/>
      <c r="U76" s="24"/>
      <c r="V76" s="24"/>
      <c r="W76" s="24"/>
      <c r="X76" s="24"/>
    </row>
    <row r="77">
      <c r="A77" s="24"/>
      <c r="B77" s="24"/>
      <c r="C77" s="24"/>
      <c r="D77" s="24"/>
      <c r="E77" s="24"/>
      <c r="F77" s="24"/>
      <c r="G77" s="24"/>
      <c r="H77" s="24"/>
      <c r="I77" s="24"/>
      <c r="J77" s="24"/>
      <c r="K77" s="24"/>
      <c r="L77" s="24"/>
      <c r="M77" s="24"/>
      <c r="N77" s="24"/>
      <c r="O77" s="24"/>
      <c r="P77" s="24"/>
      <c r="Q77" s="24"/>
      <c r="R77" s="24"/>
      <c r="S77" s="24"/>
      <c r="T77" s="24"/>
      <c r="U77" s="24"/>
      <c r="V77" s="24"/>
      <c r="W77" s="24"/>
      <c r="X77" s="24"/>
    </row>
    <row r="78">
      <c r="A78" s="24"/>
      <c r="B78" s="24"/>
      <c r="C78" s="24"/>
      <c r="D78" s="24"/>
      <c r="E78" s="24"/>
      <c r="F78" s="24"/>
      <c r="G78" s="24"/>
      <c r="H78" s="24"/>
      <c r="I78" s="24"/>
      <c r="J78" s="24"/>
      <c r="K78" s="24"/>
      <c r="L78" s="24"/>
      <c r="M78" s="24"/>
      <c r="N78" s="24"/>
      <c r="O78" s="24"/>
      <c r="P78" s="24"/>
      <c r="Q78" s="24"/>
      <c r="R78" s="24"/>
      <c r="S78" s="24"/>
      <c r="T78" s="24"/>
      <c r="U78" s="24"/>
      <c r="V78" s="24"/>
      <c r="W78" s="24"/>
      <c r="X78" s="24"/>
    </row>
    <row r="79">
      <c r="A79" s="24"/>
      <c r="B79" s="24"/>
      <c r="C79" s="24"/>
      <c r="D79" s="24"/>
      <c r="E79" s="24"/>
      <c r="F79" s="24"/>
      <c r="G79" s="24"/>
      <c r="H79" s="24"/>
      <c r="I79" s="24"/>
      <c r="J79" s="24"/>
      <c r="K79" s="24"/>
      <c r="L79" s="24"/>
      <c r="M79" s="24"/>
      <c r="N79" s="24"/>
      <c r="O79" s="24"/>
      <c r="P79" s="24"/>
      <c r="Q79" s="24"/>
      <c r="R79" s="24"/>
      <c r="S79" s="24"/>
      <c r="T79" s="24"/>
      <c r="U79" s="24"/>
      <c r="V79" s="24"/>
      <c r="W79" s="24"/>
      <c r="X79" s="24"/>
    </row>
    <row r="80">
      <c r="A80" s="24"/>
      <c r="B80" s="24"/>
      <c r="C80" s="24"/>
      <c r="D80" s="24"/>
      <c r="E80" s="24"/>
      <c r="F80" s="24"/>
      <c r="G80" s="24"/>
      <c r="H80" s="24"/>
      <c r="I80" s="24"/>
      <c r="J80" s="24"/>
      <c r="K80" s="24"/>
      <c r="L80" s="24"/>
      <c r="M80" s="24"/>
      <c r="N80" s="24"/>
      <c r="O80" s="24"/>
      <c r="P80" s="24"/>
      <c r="Q80" s="24"/>
      <c r="R80" s="24"/>
      <c r="S80" s="24"/>
      <c r="T80" s="24"/>
      <c r="U80" s="24"/>
      <c r="V80" s="24"/>
      <c r="W80" s="24"/>
      <c r="X80" s="24"/>
    </row>
    <row r="81">
      <c r="A81" s="24"/>
      <c r="B81" s="24"/>
      <c r="C81" s="24"/>
      <c r="D81" s="24"/>
      <c r="E81" s="24"/>
      <c r="F81" s="24"/>
      <c r="G81" s="24"/>
      <c r="H81" s="24"/>
      <c r="I81" s="24"/>
      <c r="J81" s="24"/>
      <c r="K81" s="24"/>
      <c r="L81" s="24"/>
      <c r="M81" s="24"/>
      <c r="N81" s="24"/>
      <c r="O81" s="24"/>
      <c r="P81" s="24"/>
      <c r="Q81" s="24"/>
      <c r="R81" s="24"/>
      <c r="S81" s="24"/>
      <c r="T81" s="24"/>
      <c r="U81" s="24"/>
      <c r="V81" s="24"/>
      <c r="W81" s="24"/>
      <c r="X81" s="24"/>
    </row>
    <row r="82">
      <c r="A82" s="24"/>
      <c r="B82" s="24"/>
      <c r="C82" s="24"/>
      <c r="D82" s="24"/>
      <c r="E82" s="24"/>
      <c r="F82" s="24"/>
      <c r="G82" s="24"/>
      <c r="H82" s="24"/>
      <c r="I82" s="24"/>
      <c r="J82" s="24"/>
      <c r="K82" s="24"/>
      <c r="L82" s="24"/>
      <c r="M82" s="24"/>
      <c r="N82" s="24"/>
      <c r="O82" s="24"/>
      <c r="P82" s="24"/>
      <c r="Q82" s="24"/>
      <c r="R82" s="24"/>
      <c r="S82" s="24"/>
      <c r="T82" s="24"/>
      <c r="U82" s="24"/>
      <c r="V82" s="24"/>
      <c r="W82" s="24"/>
      <c r="X82" s="24"/>
    </row>
    <row r="83">
      <c r="A83" s="24"/>
      <c r="B83" s="24"/>
      <c r="C83" s="24"/>
      <c r="D83" s="24"/>
      <c r="E83" s="24"/>
      <c r="F83" s="24"/>
      <c r="G83" s="24"/>
      <c r="H83" s="24"/>
      <c r="I83" s="24"/>
      <c r="J83" s="24"/>
      <c r="K83" s="24"/>
      <c r="L83" s="24"/>
      <c r="M83" s="24"/>
      <c r="N83" s="24"/>
      <c r="O83" s="24"/>
      <c r="P83" s="24"/>
      <c r="Q83" s="24"/>
      <c r="R83" s="24"/>
      <c r="S83" s="24"/>
      <c r="T83" s="24"/>
      <c r="U83" s="24"/>
      <c r="V83" s="24"/>
      <c r="W83" s="24"/>
      <c r="X83" s="24"/>
    </row>
    <row r="84">
      <c r="A84" s="24"/>
      <c r="B84" s="24"/>
      <c r="C84" s="24"/>
      <c r="D84" s="24"/>
      <c r="E84" s="24"/>
      <c r="F84" s="24"/>
      <c r="G84" s="24"/>
      <c r="H84" s="24"/>
      <c r="I84" s="24"/>
      <c r="J84" s="24"/>
      <c r="K84" s="24"/>
      <c r="L84" s="24"/>
      <c r="M84" s="24"/>
      <c r="N84" s="24"/>
      <c r="O84" s="24"/>
      <c r="P84" s="24"/>
      <c r="Q84" s="24"/>
      <c r="R84" s="24"/>
      <c r="S84" s="24"/>
      <c r="T84" s="24"/>
      <c r="U84" s="24"/>
      <c r="V84" s="24"/>
      <c r="W84" s="24"/>
      <c r="X84" s="24"/>
    </row>
    <row r="85">
      <c r="A85" s="24"/>
      <c r="B85" s="24"/>
      <c r="C85" s="24"/>
      <c r="D85" s="24"/>
      <c r="E85" s="24"/>
      <c r="F85" s="24"/>
      <c r="G85" s="24"/>
      <c r="H85" s="24"/>
      <c r="I85" s="24"/>
      <c r="J85" s="24"/>
      <c r="K85" s="24"/>
      <c r="L85" s="24"/>
      <c r="M85" s="24"/>
      <c r="N85" s="24"/>
      <c r="O85" s="24"/>
      <c r="P85" s="24"/>
      <c r="Q85" s="24"/>
      <c r="R85" s="24"/>
      <c r="S85" s="24"/>
      <c r="T85" s="24"/>
      <c r="U85" s="24"/>
      <c r="V85" s="24"/>
      <c r="W85" s="24"/>
      <c r="X85" s="24"/>
    </row>
    <row r="86">
      <c r="A86" s="24"/>
      <c r="B86" s="24"/>
      <c r="C86" s="24"/>
      <c r="D86" s="24"/>
      <c r="E86" s="24"/>
      <c r="F86" s="24"/>
      <c r="G86" s="24"/>
      <c r="H86" s="24"/>
      <c r="I86" s="24"/>
      <c r="J86" s="24"/>
      <c r="K86" s="24"/>
      <c r="L86" s="24"/>
      <c r="M86" s="24"/>
      <c r="N86" s="24"/>
      <c r="O86" s="24"/>
      <c r="P86" s="24"/>
      <c r="Q86" s="24"/>
      <c r="R86" s="24"/>
      <c r="S86" s="24"/>
      <c r="T86" s="24"/>
      <c r="U86" s="24"/>
      <c r="V86" s="24"/>
      <c r="W86" s="24"/>
      <c r="X86" s="24"/>
    </row>
    <row r="87">
      <c r="A87" s="24"/>
      <c r="B87" s="24"/>
      <c r="C87" s="24"/>
      <c r="D87" s="24"/>
      <c r="E87" s="24"/>
      <c r="F87" s="24"/>
      <c r="G87" s="24"/>
      <c r="H87" s="24"/>
      <c r="I87" s="24"/>
      <c r="J87" s="24"/>
      <c r="K87" s="24"/>
      <c r="L87" s="24"/>
      <c r="M87" s="24"/>
      <c r="N87" s="24"/>
      <c r="O87" s="24"/>
      <c r="P87" s="24"/>
      <c r="Q87" s="24"/>
      <c r="R87" s="24"/>
      <c r="S87" s="24"/>
      <c r="T87" s="24"/>
      <c r="U87" s="24"/>
      <c r="V87" s="24"/>
      <c r="W87" s="24"/>
      <c r="X87" s="24"/>
    </row>
    <row r="88">
      <c r="A88" s="24"/>
      <c r="B88" s="24"/>
      <c r="C88" s="24"/>
      <c r="D88" s="24"/>
      <c r="E88" s="24"/>
      <c r="F88" s="24"/>
      <c r="G88" s="24"/>
      <c r="H88" s="24"/>
      <c r="I88" s="24"/>
      <c r="J88" s="24"/>
      <c r="K88" s="24"/>
      <c r="L88" s="24"/>
      <c r="M88" s="24"/>
      <c r="N88" s="24"/>
      <c r="O88" s="24"/>
      <c r="P88" s="24"/>
      <c r="Q88" s="24"/>
      <c r="R88" s="24"/>
      <c r="S88" s="24"/>
      <c r="T88" s="24"/>
      <c r="U88" s="24"/>
      <c r="V88" s="24"/>
      <c r="W88" s="24"/>
      <c r="X88" s="24"/>
    </row>
    <row r="89">
      <c r="A89" s="24"/>
      <c r="B89" s="24"/>
      <c r="C89" s="24"/>
      <c r="D89" s="24"/>
      <c r="E89" s="24"/>
      <c r="F89" s="24"/>
      <c r="G89" s="24"/>
      <c r="H89" s="24"/>
      <c r="I89" s="24"/>
      <c r="J89" s="24"/>
      <c r="K89" s="24"/>
      <c r="L89" s="24"/>
      <c r="M89" s="24"/>
      <c r="N89" s="24"/>
      <c r="O89" s="24"/>
      <c r="P89" s="24"/>
      <c r="Q89" s="24"/>
      <c r="R89" s="24"/>
      <c r="S89" s="24"/>
      <c r="T89" s="24"/>
      <c r="U89" s="24"/>
      <c r="V89" s="24"/>
      <c r="W89" s="24"/>
      <c r="X89" s="24"/>
    </row>
    <row r="90">
      <c r="A90" s="24"/>
      <c r="B90" s="24"/>
      <c r="C90" s="24"/>
      <c r="D90" s="24"/>
      <c r="E90" s="24"/>
      <c r="F90" s="24"/>
      <c r="G90" s="24"/>
      <c r="H90" s="24"/>
      <c r="I90" s="24"/>
      <c r="J90" s="24"/>
      <c r="K90" s="24"/>
      <c r="L90" s="24"/>
      <c r="M90" s="24"/>
      <c r="N90" s="24"/>
      <c r="O90" s="24"/>
      <c r="P90" s="24"/>
      <c r="Q90" s="24"/>
      <c r="R90" s="24"/>
      <c r="S90" s="24"/>
      <c r="T90" s="24"/>
      <c r="U90" s="24"/>
      <c r="V90" s="24"/>
      <c r="W90" s="24"/>
      <c r="X90" s="24"/>
    </row>
    <row r="91">
      <c r="A91" s="24"/>
      <c r="B91" s="24"/>
      <c r="C91" s="24"/>
      <c r="D91" s="24"/>
      <c r="E91" s="24"/>
      <c r="F91" s="24"/>
      <c r="G91" s="24"/>
      <c r="H91" s="24"/>
      <c r="I91" s="24"/>
      <c r="J91" s="24"/>
      <c r="K91" s="24"/>
      <c r="L91" s="24"/>
      <c r="M91" s="24"/>
      <c r="N91" s="24"/>
      <c r="O91" s="24"/>
      <c r="P91" s="24"/>
      <c r="Q91" s="24"/>
      <c r="R91" s="24"/>
      <c r="S91" s="24"/>
      <c r="T91" s="24"/>
      <c r="U91" s="24"/>
      <c r="V91" s="24"/>
      <c r="W91" s="24"/>
      <c r="X91" s="24"/>
    </row>
    <row r="92">
      <c r="A92" s="24"/>
      <c r="B92" s="24"/>
      <c r="C92" s="24"/>
      <c r="D92" s="24"/>
      <c r="E92" s="24"/>
      <c r="F92" s="24"/>
      <c r="G92" s="24"/>
      <c r="H92" s="24"/>
      <c r="I92" s="24"/>
      <c r="J92" s="24"/>
      <c r="K92" s="24"/>
      <c r="L92" s="24"/>
      <c r="M92" s="24"/>
      <c r="N92" s="24"/>
      <c r="O92" s="24"/>
      <c r="P92" s="24"/>
      <c r="Q92" s="24"/>
      <c r="R92" s="24"/>
      <c r="S92" s="24"/>
      <c r="T92" s="24"/>
      <c r="U92" s="24"/>
      <c r="V92" s="24"/>
      <c r="W92" s="24"/>
      <c r="X92" s="24"/>
    </row>
    <row r="93">
      <c r="A93" s="24"/>
      <c r="B93" s="24"/>
      <c r="C93" s="24"/>
      <c r="D93" s="24"/>
      <c r="E93" s="24"/>
      <c r="F93" s="24"/>
      <c r="G93" s="24"/>
      <c r="H93" s="24"/>
      <c r="I93" s="24"/>
      <c r="J93" s="24"/>
      <c r="K93" s="24"/>
      <c r="L93" s="24"/>
      <c r="M93" s="24"/>
      <c r="N93" s="24"/>
      <c r="O93" s="24"/>
      <c r="P93" s="24"/>
      <c r="Q93" s="24"/>
      <c r="R93" s="24"/>
      <c r="S93" s="24"/>
      <c r="T93" s="24"/>
      <c r="U93" s="24"/>
      <c r="V93" s="24"/>
      <c r="W93" s="24"/>
      <c r="X93" s="24"/>
    </row>
    <row r="94">
      <c r="A94" s="24"/>
      <c r="B94" s="24"/>
      <c r="C94" s="24"/>
      <c r="D94" s="24"/>
      <c r="E94" s="24"/>
      <c r="F94" s="24"/>
      <c r="G94" s="24"/>
      <c r="H94" s="24"/>
      <c r="I94" s="24"/>
      <c r="J94" s="24"/>
      <c r="K94" s="24"/>
      <c r="L94" s="24"/>
      <c r="M94" s="24"/>
      <c r="N94" s="24"/>
      <c r="O94" s="24"/>
      <c r="P94" s="24"/>
      <c r="Q94" s="24"/>
      <c r="R94" s="24"/>
      <c r="S94" s="24"/>
      <c r="T94" s="24"/>
      <c r="U94" s="24"/>
      <c r="V94" s="24"/>
      <c r="W94" s="24"/>
      <c r="X94" s="24"/>
    </row>
    <row r="95">
      <c r="A95" s="24"/>
      <c r="B95" s="24"/>
      <c r="C95" s="24"/>
      <c r="D95" s="24"/>
      <c r="E95" s="24"/>
      <c r="F95" s="24"/>
      <c r="G95" s="24"/>
      <c r="H95" s="24"/>
      <c r="I95" s="24"/>
      <c r="J95" s="24"/>
      <c r="K95" s="24"/>
      <c r="L95" s="24"/>
      <c r="M95" s="24"/>
      <c r="N95" s="24"/>
      <c r="O95" s="24"/>
      <c r="P95" s="24"/>
      <c r="Q95" s="24"/>
      <c r="R95" s="24"/>
      <c r="S95" s="24"/>
      <c r="T95" s="24"/>
      <c r="U95" s="24"/>
      <c r="V95" s="24"/>
      <c r="W95" s="24"/>
      <c r="X95" s="24"/>
    </row>
    <row r="96">
      <c r="A96" s="24"/>
      <c r="B96" s="24"/>
      <c r="C96" s="24"/>
      <c r="D96" s="24"/>
      <c r="E96" s="24"/>
      <c r="F96" s="24"/>
      <c r="G96" s="24"/>
      <c r="H96" s="24"/>
      <c r="I96" s="24"/>
      <c r="J96" s="24"/>
      <c r="K96" s="24"/>
      <c r="L96" s="24"/>
      <c r="M96" s="24"/>
      <c r="N96" s="24"/>
      <c r="O96" s="24"/>
      <c r="P96" s="24"/>
      <c r="Q96" s="24"/>
      <c r="R96" s="24"/>
      <c r="S96" s="24"/>
      <c r="T96" s="24"/>
      <c r="U96" s="24"/>
      <c r="V96" s="24"/>
      <c r="W96" s="24"/>
      <c r="X96" s="24"/>
    </row>
    <row r="97">
      <c r="A97" s="24"/>
      <c r="B97" s="24"/>
      <c r="C97" s="24"/>
      <c r="D97" s="24"/>
      <c r="E97" s="24"/>
      <c r="F97" s="24"/>
      <c r="G97" s="24"/>
      <c r="H97" s="24"/>
      <c r="I97" s="24"/>
      <c r="J97" s="24"/>
      <c r="K97" s="24"/>
      <c r="L97" s="24"/>
      <c r="M97" s="24"/>
      <c r="N97" s="24"/>
      <c r="O97" s="24"/>
      <c r="P97" s="24"/>
      <c r="Q97" s="24"/>
      <c r="R97" s="24"/>
      <c r="S97" s="24"/>
      <c r="T97" s="24"/>
      <c r="U97" s="24"/>
      <c r="V97" s="24"/>
      <c r="W97" s="24"/>
      <c r="X97" s="24"/>
    </row>
    <row r="98">
      <c r="A98" s="24"/>
      <c r="B98" s="24"/>
      <c r="C98" s="24"/>
      <c r="D98" s="24"/>
      <c r="E98" s="24"/>
      <c r="F98" s="24"/>
      <c r="G98" s="24"/>
      <c r="H98" s="24"/>
      <c r="I98" s="24"/>
      <c r="J98" s="24"/>
      <c r="K98" s="24"/>
      <c r="L98" s="24"/>
      <c r="M98" s="24"/>
      <c r="N98" s="24"/>
      <c r="O98" s="24"/>
      <c r="P98" s="24"/>
      <c r="Q98" s="24"/>
      <c r="R98" s="24"/>
      <c r="S98" s="24"/>
      <c r="T98" s="24"/>
      <c r="U98" s="24"/>
      <c r="V98" s="24"/>
      <c r="W98" s="24"/>
      <c r="X98" s="24"/>
    </row>
    <row r="99">
      <c r="A99" s="24"/>
      <c r="B99" s="24"/>
      <c r="C99" s="24"/>
      <c r="D99" s="24"/>
      <c r="E99" s="24"/>
      <c r="F99" s="24"/>
      <c r="G99" s="24"/>
      <c r="H99" s="24"/>
      <c r="I99" s="24"/>
      <c r="J99" s="24"/>
      <c r="K99" s="24"/>
      <c r="L99" s="24"/>
      <c r="M99" s="24"/>
      <c r="N99" s="24"/>
      <c r="O99" s="24"/>
      <c r="P99" s="24"/>
      <c r="Q99" s="24"/>
      <c r="R99" s="24"/>
      <c r="S99" s="24"/>
      <c r="T99" s="24"/>
      <c r="U99" s="24"/>
      <c r="V99" s="24"/>
      <c r="W99" s="24"/>
      <c r="X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row>
    <row r="97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row>
    <row r="979">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row>
  </sheetData>
  <mergeCells count="19">
    <mergeCell ref="B1:D2"/>
    <mergeCell ref="B3:D3"/>
    <mergeCell ref="B4:D4"/>
    <mergeCell ref="B5:D5"/>
    <mergeCell ref="A9:A10"/>
    <mergeCell ref="B9:B10"/>
    <mergeCell ref="C9:C10"/>
    <mergeCell ref="D13:F13"/>
    <mergeCell ref="A14:J14"/>
    <mergeCell ref="D15:F15"/>
    <mergeCell ref="D16:F16"/>
    <mergeCell ref="D17:F17"/>
    <mergeCell ref="D9:F10"/>
    <mergeCell ref="G9:G10"/>
    <mergeCell ref="H9:H10"/>
    <mergeCell ref="I9:I10"/>
    <mergeCell ref="J9:J10"/>
    <mergeCell ref="B11:J11"/>
    <mergeCell ref="A12:J12"/>
  </mergeCells>
  <hyperlinks>
    <hyperlink r:id="rId1" ref="G13"/>
    <hyperlink r:id="rId2" ref="G15"/>
    <hyperlink r:id="rId3" ref="G16"/>
    <hyperlink r:id="rId4" ref="G17"/>
  </hyperlinks>
  <drawing r:id="rId5"/>
</worksheet>
</file>