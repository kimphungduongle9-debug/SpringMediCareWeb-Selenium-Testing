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SUMMARY" sheetId="2" r:id="rId6"/>
    <sheet state="visible" name="Test Report" sheetId="3" r:id="rId7"/>
    <sheet state="visible" name="LOG" sheetId="4" r:id="rId8"/>
    <sheet state="visible" name="REGISTER" sheetId="5" r:id="rId9"/>
    <sheet state="visible" name="BOOKING" sheetId="6" r:id="rId10"/>
    <sheet state="visible" name="APPOINTMENT" sheetId="7" r:id="rId11"/>
    <sheet state="visible" name="MEDICAL" sheetId="8" r:id="rId12"/>
    <sheet state="visible" name="DS_ADMIN" sheetId="9" r:id="rId13"/>
    <sheet state="visible" name="MYAPPOINTMENT" sheetId="10" r:id="rId14"/>
    <sheet state="visible" name="HISTORY" sheetId="11" r:id="rId15"/>
    <sheet state="visible" name="WORKSCHEDULE" sheetId="12" r:id="rId16"/>
    <sheet state="visible" name="NOTIFICATION" sheetId="13" r:id="rId17"/>
    <sheet state="visible" name="DOCTOR" sheetId="14" r:id="rId18"/>
    <sheet state="visible" name="SPECIALTY" sheetId="15" r:id="rId19"/>
    <sheet state="visible" name="DRUG_CATEGORY" sheetId="16" r:id="rId20"/>
    <sheet state="visible" name="STAT" sheetId="17" r:id="rId21"/>
  </sheets>
  <definedNames>
    <definedName name="ACTION">#REF!</definedName>
  </definedNames>
  <calcPr/>
</workbook>
</file>

<file path=xl/sharedStrings.xml><?xml version="1.0" encoding="utf-8"?>
<sst xmlns="http://schemas.openxmlformats.org/spreadsheetml/2006/main" count="1404" uniqueCount="961">
  <si>
    <t>TEST REPORT</t>
  </si>
  <si>
    <t>TEST SUMMARY</t>
  </si>
  <si>
    <r>
      <rPr>
        <rFont val="Tahoma"/>
        <b/>
        <color rgb="FF993300"/>
        <sz val="13.0"/>
      </rPr>
      <t>Project Name:</t>
    </r>
    <r>
      <rPr>
        <rFont val="Tahoma"/>
        <b/>
        <color theme="1"/>
        <sz val="13.0"/>
      </rPr>
      <t xml:space="preserve"> SpringMediCareWeb - Testing</t>
    </r>
  </si>
  <si>
    <t>TEST CASE</t>
  </si>
  <si>
    <t>Note:</t>
  </si>
  <si>
    <t>Final test execution summary after retesting.</t>
  </si>
  <si>
    <t>Date</t>
  </si>
  <si>
    <t>Version:</t>
  </si>
  <si>
    <t>1.0</t>
  </si>
  <si>
    <t>No</t>
  </si>
  <si>
    <t>System Name：</t>
  </si>
  <si>
    <t>Module code</t>
  </si>
  <si>
    <t>Test Result Summary:</t>
  </si>
  <si>
    <t>SpringMediCareWeb</t>
  </si>
  <si>
    <t>Pass</t>
  </si>
  <si>
    <t>Fail</t>
  </si>
  <si>
    <t>Pending</t>
  </si>
  <si>
    <t>Issue date:</t>
  </si>
  <si>
    <t>Number of  test cases</t>
  </si>
  <si>
    <t>Module Code：</t>
  </si>
  <si>
    <t>AUTH - Login</t>
  </si>
  <si>
    <t>No.</t>
  </si>
  <si>
    <t>Module</t>
  </si>
  <si>
    <t>Test requirement:</t>
  </si>
  <si>
    <t>Login and Authentication</t>
  </si>
  <si>
    <t>Total TC</t>
  </si>
  <si>
    <t>Initial Pass</t>
  </si>
  <si>
    <t>Initial Fail</t>
  </si>
  <si>
    <t>Retest Pass</t>
  </si>
  <si>
    <t>Project Name:</t>
  </si>
  <si>
    <t>SpringMediCare</t>
  </si>
  <si>
    <t>Final Pass</t>
  </si>
  <si>
    <t>Final Fail</t>
  </si>
  <si>
    <t>Project Code:</t>
  </si>
  <si>
    <t>SMC</t>
  </si>
  <si>
    <t>Login</t>
  </si>
  <si>
    <t>Number of test cases:</t>
  </si>
  <si>
    <t>Lịch sử thay đổi</t>
  </si>
  <si>
    <t>ID</t>
  </si>
  <si>
    <t>Test Case Description</t>
  </si>
  <si>
    <t>Test Case Procedure</t>
  </si>
  <si>
    <t>Expected Results</t>
  </si>
  <si>
    <t>Ngày</t>
  </si>
  <si>
    <t>Actual Results</t>
  </si>
  <si>
    <t>Test date</t>
  </si>
  <si>
    <t>Phiên bản</t>
  </si>
  <si>
    <t>Vị trí thay đổi</t>
  </si>
  <si>
    <t>Mô tả thay đổi</t>
  </si>
  <si>
    <t>Người thực hiện</t>
  </si>
  <si>
    <t>Status</t>
  </si>
  <si>
    <t>Note</t>
  </si>
  <si>
    <t>Retest Date</t>
  </si>
  <si>
    <t>Retest Status</t>
  </si>
  <si>
    <t>Register</t>
  </si>
  <si>
    <t>Retest Evidence</t>
  </si>
  <si>
    <t>LOG</t>
  </si>
  <si>
    <t>Kiểm thử lần đầu chức năng Đăng nhập: 10 test case, gồm 9 Pass và 1 Fail; sau khi khắc phục, test case lỗi được Retest và đạt Pass.</t>
  </si>
  <si>
    <t>Dương Lê Kim Phụng</t>
  </si>
  <si>
    <t>1.1</t>
  </si>
  <si>
    <t>REGISTER</t>
  </si>
  <si>
    <t>Kiểm thử lần đầu chức năng Đăng ký: 19 test case, gồm 11 Pass và 8 Fail.</t>
  </si>
  <si>
    <t>1. Kiểm tra đăng ký hợp lệ</t>
  </si>
  <si>
    <t>1.2</t>
  </si>
  <si>
    <t>Retest 8 test case Đăng ký bị Fail sau khi khắc phục; tất cả đều đạt Pass.</t>
  </si>
  <si>
    <t>TC-LOGIN-001</t>
  </si>
  <si>
    <t>1.3</t>
  </si>
  <si>
    <t>Đăng nhập thành công với tên đăng nhập hợp lệ</t>
  </si>
  <si>
    <t>BOOKING</t>
  </si>
  <si>
    <t>Kiểm thử lần đầu chức năng Đặt lịch: 8 test case, gồm 7 Pass và 1 Fail; test case lỗi được Retest và đạt Pass.</t>
  </si>
  <si>
    <t>Booking</t>
  </si>
  <si>
    <t>1: Mở trang đăng nhâp
2: Nhập tài khoản hợp lệ
3: Nhập đúng mật khẩu
4: Nhấn nút đăng nhập</t>
  </si>
  <si>
    <t>Hệ thống đăng nhập thành công, chuyển đến trang chủ, hiển thị tên người dùng và nút Đăng xuất.</t>
  </si>
  <si>
    <t>TCLog1_1,
TCLog1_2</t>
  </si>
  <si>
    <t>1.4</t>
  </si>
  <si>
    <t>APPOINTMENT</t>
  </si>
  <si>
    <t>Kiểm thử lần đầu chức năng Quản lý lịch hẹn: 9 test case, gồm 5 Pass và 4 Fail.</t>
  </si>
  <si>
    <t>1.5</t>
  </si>
  <si>
    <t>APPOINTMENT, MEDICAL</t>
  </si>
  <si>
    <t>Retest các test case Lịch hẹn đã được khắc phục; đồng thời thực hiện kiểm thử lần đầu chức năng Hồ sơ y tế với 9 test case, gồm 7 Pass và 2 Fail.</t>
  </si>
  <si>
    <t>1.6</t>
  </si>
  <si>
    <t>MEDICAL</t>
  </si>
  <si>
    <t>Retest 2 test case Hồ sơ y tế bị Fail sau khi khắc phục; cả 2 đều đạt Pass.</t>
  </si>
  <si>
    <t>Appointment</t>
  </si>
  <si>
    <t>Đăng nhập thành công, hệ thống chuyển trang hiện giao diện người dùng</t>
  </si>
  <si>
    <t>1.7</t>
  </si>
  <si>
    <t>DS_ADMIN</t>
  </si>
  <si>
    <t>Kiểm thử lần đầu chức năng Quản lý lịch làm việc bác sĩ; ghi nhận các test case Pass và các trường hợp Fail cần khắc phục.</t>
  </si>
  <si>
    <t>1.8</t>
  </si>
  <si>
    <t>Retest các test case Quản lý lịch làm việc bác sĩ đã được khắc phục; các trường hợp được kiểm tra lại đạt Pass.</t>
  </si>
  <si>
    <t>TC-LOGIN-002</t>
  </si>
  <si>
    <t>Đăng nhập thành công với email hợp lệ</t>
  </si>
  <si>
    <t>1: Mở trang đăng nhâp
2: Nhập email hợp lệ
3: Nhập đúng mật khẩu
4: Nhấn nút đăng nhập</t>
  </si>
  <si>
    <t>Hệ thống đăng nhập thành công và chuyển đến trang chính đúng với vai trò người dùng</t>
  </si>
  <si>
    <t>1.9</t>
  </si>
  <si>
    <t>TCLog2</t>
  </si>
  <si>
    <t>Tiếp tục kiểm thử chức năng Quản lý lịch làm việc bác sĩ và Retest trường hợp lỗi sau khi khắc phục.</t>
  </si>
  <si>
    <t>1.10</t>
  </si>
  <si>
    <t>MYAPPOINTMENT</t>
  </si>
  <si>
    <t>Kiểm thử chức năng Lịch hẹn của tôi: 5 test case và tất cả đều đạt Pass.</t>
  </si>
  <si>
    <t>Hệ thống không cho đăng nhập bằng email đã tồn tại và hiển thị thông báo “Sai tên đăng nhập hoặc mật khẩu”.</t>
  </si>
  <si>
    <t>TCLog2Retest_1,TCLog2Retest_2</t>
  </si>
  <si>
    <t>1.11</t>
  </si>
  <si>
    <t>HISTORY</t>
  </si>
  <si>
    <t>Kiểm thử lần đầu chức năng Lịch sử khám bệnh; ghi nhận 1 test case Fail cần khắc phục.</t>
  </si>
  <si>
    <t>1.12</t>
  </si>
  <si>
    <t>HISTORY, WORKSCHEDULE</t>
  </si>
  <si>
    <t>Tiếp tục kiểm thử chức năng Lịch sử khám bệnh và Lịch làm việc của bác sĩ; Retest test case TC-MEDICALHISTORY-004 sau khi khắc phục và đạt Pass.</t>
  </si>
  <si>
    <t>2. Kiểm tra validation dữ liệu bắt buộc</t>
  </si>
  <si>
    <t>1.13</t>
  </si>
  <si>
    <t>Medical</t>
  </si>
  <si>
    <t>NOTIFICATION</t>
  </si>
  <si>
    <t>Kiểm thử lần đầu chức năng Thông báo; ghi nhận các trường hợp Pass và Fail để tiến hành khắc phục, đồng thời Retest một số test case đã sửa.</t>
  </si>
  <si>
    <t>TC-LOGIN-003</t>
  </si>
  <si>
    <t>Bỏ trống tên đăng nhập</t>
  </si>
  <si>
    <t>1: Mở trang đăng nhâp
2: Để trống tên đăng nhập
3: Nhập mật khẩu
4: Nhấn nút đăng nhập</t>
  </si>
  <si>
    <t>Hệ thống hiển thị thông báo yêu cầu nhập tài khoản và không cho đăng nhập</t>
  </si>
  <si>
    <t>1.14</t>
  </si>
  <si>
    <t>Tiếp tục Retest các test case Thông báo đã được khắc phục; các trường hợp TC-NOTIFICATION-006 và TC-NOTIFICATION-007 đạt Pass.</t>
  </si>
  <si>
    <t>TCLog3</t>
  </si>
  <si>
    <t>1.15</t>
  </si>
  <si>
    <t>BOOKING, DOCTOR, SPECIALTY</t>
  </si>
  <si>
    <t>Bổ sung kiểm thử chức năng Đặt lịch, đồng thời thực hiện kiểm thử chức năng Quản lý bác sĩ và Quản lý chuyên khoa.</t>
  </si>
  <si>
    <t>1.17</t>
  </si>
  <si>
    <t>DRUG_CATEGORY</t>
  </si>
  <si>
    <t>Kiểm thử chức năng Quản lý danh mục thuốc; ghi nhận các trường hợp Pass và trường hợp lỗi cần khắc phục.</t>
  </si>
  <si>
    <t>Validation hoạt động đúng khi người dùng để trống tên đăng nhập.</t>
  </si>
  <si>
    <t>TC-LOGIN-004</t>
  </si>
  <si>
    <t>Bỏ trống mật khẩu</t>
  </si>
  <si>
    <t>1.18</t>
  </si>
  <si>
    <t>1: Mở trang đăng nhâp
2: Nhập tên đăng nhập hợp lệ
3: Để trống mật khẩu
4: Nhấn nút đăng nhập</t>
  </si>
  <si>
    <t>STAT</t>
  </si>
  <si>
    <t>Kiểm thử chức năng Thống kê; các test case đã thực hiện đều đạt Pass.</t>
  </si>
  <si>
    <t>Hệ thống hiển thị thông báo yêu cầu nhập mật khẩu và không cho đăng nhập</t>
  </si>
  <si>
    <t>TCLog4</t>
  </si>
  <si>
    <t>2,0</t>
  </si>
  <si>
    <t>TEST SUMMARY, Test Report, Cover</t>
  </si>
  <si>
    <t>Doctor Schedule Admin</t>
  </si>
  <si>
    <t>Tổng hợp kết quả kiểm thử, cập nhật Test Summary, Test Report và hoàn thiện tài liệu test case.</t>
  </si>
  <si>
    <t>Validation hoạt động đúng khi người dùng để trống mật khẩu</t>
  </si>
  <si>
    <t>TC-LOGIN-005</t>
  </si>
  <si>
    <t>Bỏ trống tên đăng nhập và mật khẩu</t>
  </si>
  <si>
    <t>1: Mở trang đăng nhâp
2: Để trống tên đăng nhập
3: Để trống mật khẩu
4: Nhấn nút đăng nhập</t>
  </si>
  <si>
    <t>Hệ thống hiển thị thông báo yêu cầu nhập đầy đủ thông tin đăng nhập</t>
  </si>
  <si>
    <t>TCLog5</t>
  </si>
  <si>
    <t>Validation hoạt động đúng khi người dùng để trống mật khẩu và tên đăng nhập</t>
  </si>
  <si>
    <t>3. Kiểm tra dữ liệu đăng ký không hợp lệ</t>
  </si>
  <si>
    <t>TC-LOGIN-006</t>
  </si>
  <si>
    <t>Đăng nhập sai mật khẩu</t>
  </si>
  <si>
    <t>1: Mở trang đăng nhâp
2: Nhập tên đăng nhập hợp lệ
3: Nhập mật khẩu sai 1 kí tự
4: Nhấn nút đăng nhập</t>
  </si>
  <si>
    <t>Hệ thống không cho đăng nhập và hiển thị thông báo sai tài khoản hoặc mật khẩu</t>
  </si>
  <si>
    <t>TCLog6</t>
  </si>
  <si>
    <t>My Appointment</t>
  </si>
  <si>
    <t>Validation hoạt động đúng khi người dùng nhập sai mật khẩu</t>
  </si>
  <si>
    <t>TC-LOGIN-007</t>
  </si>
  <si>
    <t>Đăng nhập với tài khoản không tồn tại</t>
  </si>
  <si>
    <t>1: Mở trang đăng nhâp
2: Nhập tên đăng nhập chưa đăng ký
3: Nhập mật khẩu bất kì
4: Nhấn nút đăng nhập</t>
  </si>
  <si>
    <t>TCLog7</t>
  </si>
  <si>
    <t>Validation hoạt động đúng khi người dùng nhập sai tên đăng nhập</t>
  </si>
  <si>
    <t xml:space="preserve">4. Kiểm tra xử lý sau khi đăng nhập        </t>
  </si>
  <si>
    <t>TC-LOGIN-008</t>
  </si>
  <si>
    <t>Đăng xuất thành công</t>
  </si>
  <si>
    <t>1: Đăng nhâp thành công
2: Nhấn nút Đăng xuất</t>
  </si>
  <si>
    <t>Hệ thống đăng xuất thành công và chuyển về trang đăng nhập hoặc trang chủ</t>
  </si>
  <si>
    <t>TCLog8_1, TCLog8_2</t>
  </si>
  <si>
    <t>Đăng nhập thành công, hệ thống chuyển trang hiện giao diện chưa đăng nhập</t>
  </si>
  <si>
    <t>TC-LOGIN-009</t>
  </si>
  <si>
    <t>Truy cập trang cần đăng nhập khi chưa đăng nhập</t>
  </si>
  <si>
    <t>1: Mở trình duyệt mới hoặc đăng xuất khỏi hệ thống
2: Truy cập trực tiếp URL của trang cần đăng nhập</t>
  </si>
  <si>
    <t>Hệ thống không cho truy cập và và hiện thông báo vui lòng đăng nhập</t>
  </si>
  <si>
    <t>History</t>
  </si>
  <si>
    <t>TCLog9</t>
  </si>
  <si>
    <t>Hệ thống thực hiện đúng, không cho truy câp trang khi chưa đăng nhập</t>
  </si>
  <si>
    <t>TC-LOGIN-010</t>
  </si>
  <si>
    <t>Kiểm tra trạng thái đăng nhập sau khi đăng xuất và bấm Back</t>
  </si>
  <si>
    <t>1: Đăng nhâp thành công
2: Nhấn nút Đăng xuất
3: Bấm nút quay lại</t>
  </si>
  <si>
    <t>Hệ thống hiện trang chủ khi chưa đăng nhập</t>
  </si>
  <si>
    <t>TCLog10_1,TCLog10_2, TCLog10_3</t>
  </si>
  <si>
    <t>Hệ thống thực hiện đúng</t>
  </si>
  <si>
    <t>Work Schedule</t>
  </si>
  <si>
    <t>Notification</t>
  </si>
  <si>
    <t>Doctor</t>
  </si>
  <si>
    <t>Specialty</t>
  </si>
  <si>
    <t>Sub total</t>
  </si>
  <si>
    <t>Drug Category</t>
  </si>
  <si>
    <t>Test coverage</t>
  </si>
  <si>
    <t>%</t>
  </si>
  <si>
    <t>Test successful coverage</t>
  </si>
  <si>
    <t>Statistics</t>
  </si>
  <si>
    <t>Tổng</t>
  </si>
  <si>
    <t>AUTH - Register</t>
  </si>
  <si>
    <t>User Registration</t>
  </si>
  <si>
    <t>TC-REGISTER-001</t>
  </si>
  <si>
    <t>Đăng ký thành công với thông tin hợp lệ</t>
  </si>
  <si>
    <t>1: Mở trang đăng ký.
2: Nhập họ và tên hợp lệ.
3: Nhập email chưa tồn tại.
4: Nhập số điện thoại hợp lệ.
5: Nhập tên đăng nhập chưa tồn tại.
6: Nhập mật khẩu hợp lệ.
7: Nhập xác nhận mật khẩu trùng khớp.
8: Chọn ảnh đại diện hợp lệ.
9: Nhấn nút Đăng ký.</t>
  </si>
  <si>
    <t>Hệ thống tạo tài khoản thành công, hiển thị thông báo phù hợp và chuyển người dùng đến trang đăng nhập.</t>
  </si>
  <si>
    <t>TCRegister1_1, TCRegister1_2, TCRegister1_3</t>
  </si>
  <si>
    <t>Đăng ký thành công, hệ thống chuyển trang đăng nhập</t>
  </si>
  <si>
    <t>TC-REGISTER-002</t>
  </si>
  <si>
    <t>Đăng ký khi không chọn ảnh đại diện</t>
  </si>
  <si>
    <t>1: Mở trang đăng ký.
2: Nhập đầy đủ thông tin hợp lệ.
3: Không chọn ảnh đại diện.
4: Nhấn nút Đăng ký.</t>
  </si>
  <si>
    <t>Hệ thống không tạo tài khoản và hiển thị thông báo yêu cầu chọn ảnh đại diện.</t>
  </si>
  <si>
    <t>BOOKING - Appointment Booking</t>
  </si>
  <si>
    <t>TCRegister2</t>
  </si>
  <si>
    <t>Appointment Booking</t>
  </si>
  <si>
    <t>Hệ thống không cho đăng ký khi chưa chọn ảnh đại diện và hiển thị thông báo yêu cầu chọn ảnh.</t>
  </si>
  <si>
    <t>TC-REGISTER-003</t>
  </si>
  <si>
    <t>Bỏ trống họ</t>
  </si>
  <si>
    <t>1: Mở trang đăng ký.
2: Để trống trường Họ.
3: Nhập hợp lệ các trường còn lại.
4: Nhấn nút Đăng ký.</t>
  </si>
  <si>
    <t>Hệ thống không tạo tài khoản và hiển thị yêu cầu nhập họ.</t>
  </si>
  <si>
    <t>TCRegister3</t>
  </si>
  <si>
    <t>TC-REGISTER-004</t>
  </si>
  <si>
    <t>Bỏ trống tên</t>
  </si>
  <si>
    <t>1: Mở trang đăng ký.
2: Để trống trường Tên.
3: Nhập hợp lệ các trường còn lại.
4: Nhấn nút Đăng ký.</t>
  </si>
  <si>
    <t>Hệ thống không tạo tài khoản và hiển thị yêu cầu nhập tên.</t>
  </si>
  <si>
    <t>TCRegister4</t>
  </si>
  <si>
    <t>TC-REGISTER-005</t>
  </si>
  <si>
    <t>Bỏ trống email</t>
  </si>
  <si>
    <t>1: Mở trang đăng ký.
2: Để trống trường Email.
3: Nhập hợp lệ các trường còn lại.
4: Nhấn nút Đăng ký.</t>
  </si>
  <si>
    <t>Hệ thống không tạo tài khoản và hiển thị yêu cầu nhập email.</t>
  </si>
  <si>
    <t>TCRegister5</t>
  </si>
  <si>
    <t>TC-REGISTER-006</t>
  </si>
  <si>
    <t>Bỏ trống số điện thoại</t>
  </si>
  <si>
    <t>1: Mở trang đăng ký.
2: Để trống trường Số điện thoại.
3: Nhập hợp lệ các trường còn lại.
4: Nhấn nút Đăng ký.</t>
  </si>
  <si>
    <t>Hệ thống không tạo tài khoản và hiển thị yêu cầu nhập số điện thoại.</t>
  </si>
  <si>
    <t>1. Kiểm tra hiển thị thông tin đặt lịch</t>
  </si>
  <si>
    <t>TCRegister6</t>
  </si>
  <si>
    <t>TC-BOOKING-001</t>
  </si>
  <si>
    <t>Đặt lịch thành công với ngày và giờ hợp lệ</t>
  </si>
  <si>
    <t>1: Đăng nhập bằng tài khoản bệnh nhân
2: Chọn một bác sĩ
3: Mở trang đặt lịch
4: Chọn ngày bác sĩ có lịch làm việc
5: Chọn giờ nằm trong ca làm việc và chưa có người đặt
6: Nhập ghi chú
7: Nhấn nút Đặt lịch</t>
  </si>
  <si>
    <t>Hệ thống tạo lịch hẹn thành công, hiển thị thông báo đặt lịch thành công và giờ vừa đặt xuất hiện trong danh sách giờ đã được đặt</t>
  </si>
  <si>
    <t>TCBooking1_1, TCBooking1_2</t>
  </si>
  <si>
    <t>TC-REGISTER-007</t>
  </si>
  <si>
    <t>1: Mở trang đăng ký.
2: Để trống trường Tên đăng nhập.
3: Nhập hợp lệ các trường còn lại.
4: Nhấn nút Đăng ký.</t>
  </si>
  <si>
    <t>Hệ thống không tạo tài khoản và hiển thị yêu cầu nhập tên đăng nhập.</t>
  </si>
  <si>
    <t>Chức năng hoạt động đúng, có thông báo đặt lịch thành công</t>
  </si>
  <si>
    <t>TCRegister7</t>
  </si>
  <si>
    <t>2. Kiểm tra dữ liệu để trống</t>
  </si>
  <si>
    <t>TC-BOOKING-002</t>
  </si>
  <si>
    <t>Bỏ trống ngày khám</t>
  </si>
  <si>
    <t>1: Đăng nhập bằng tài khoản bệnh nhân
2: Chọn bác sĩ và mở trang đặt lịch
3: Không chọn ngày khám
4: Để các trường còn lại ở trạng thái mặc định
5: Nhấn nút Đặt lịch</t>
  </si>
  <si>
    <t>Hệ thống yêu cầu người dùng chọn ngày khám và không tạo lịch hẹn</t>
  </si>
  <si>
    <t>TCBooking2</t>
  </si>
  <si>
    <t>TC-REGISTER-008</t>
  </si>
  <si>
    <t>Hệ thống hoạt động đúng, có thông báo yêu cầu nhập ngày khám</t>
  </si>
  <si>
    <t>1: Mở trang đăng ký.
2: Để trống trường Mật khẩu.
3: Nhập hợp lệ các trường còn lại.
4: Nhấn nút Đăng ký.</t>
  </si>
  <si>
    <t>Hệ thống không tạo tài khoản và hiển thị yêu cầu nhập mật khẩu.</t>
  </si>
  <si>
    <t>TCRegister8</t>
  </si>
  <si>
    <t>TC-BOOKING-003</t>
  </si>
  <si>
    <t>Bỏ trống giờ khám</t>
  </si>
  <si>
    <t>1: Đăng nhập bằng tài khoản bệnh nhân
2: Chọn bác sĩ và mở trang đặt lịch
3: Không chọn giờ khám
4: Để các trường còn lại nhập đủ
5: Nhấn nút Đặt lịch</t>
  </si>
  <si>
    <t>Hệ thống yêu cầu người dùng nhập giờ khám và không tạo lịch hẹn</t>
  </si>
  <si>
    <t>TCBooking3</t>
  </si>
  <si>
    <t>Hệ thống hoạt động đúng, có thông báo yêu cầu nhập giờ khám</t>
  </si>
  <si>
    <t>TC-REGISTER-009</t>
  </si>
  <si>
    <t>Bỏ trống xác nhận mật khẩu</t>
  </si>
  <si>
    <t>TC-BOOKING-004</t>
  </si>
  <si>
    <t>1: Mở trang đăng ký.
2: Để trống trường Xác nhận mật khẩu.
3: Nhập hợp lệ các trường còn lại.
4: Nhấn nút Đăng ký.</t>
  </si>
  <si>
    <t>Bỏ trống ghi chú</t>
  </si>
  <si>
    <t>Hệ thống không tạo tài khoản và hiển thị yêu cầu nhập xác nhận mật khẩu.</t>
  </si>
  <si>
    <t>1: Đăng nhập bằng tài khoản bệnh nhân
2: Chọn bác sĩ và mở trang đặt lịch
3: Chọn ngày bác sĩ có lịch làm việc
4: Chọn giờ hợp lệ và chưa có người đặt
5: Để trống ghi chú
6: Nhấn nút Đặt lịch</t>
  </si>
  <si>
    <t>Hệ thống vẫn tạo lịch hẹn thành công vì ghi chú là thông tin không bắt buộc</t>
  </si>
  <si>
    <t>TCBooking4_1, TCBooking4_2</t>
  </si>
  <si>
    <t>TCRegister9</t>
  </si>
  <si>
    <t xml:space="preserve">Hệ thống hoạt động đúng, vì ghi chú không phải trường bắt buộc </t>
  </si>
  <si>
    <t>3. Kiểm tra ngày và giờ không hợp lệ</t>
  </si>
  <si>
    <t>TC-BOOKING-005</t>
  </si>
  <si>
    <t>Chọn ngày bác sĩ không có lịch làm việc</t>
  </si>
  <si>
    <t>1: Đăng nhập bằng tài khoản bệnh nhân
2: Chọn bác sĩ và mở trang đặt lịch
3: Chọn ngày bác sĩ không có lịch làm việc
4: Quan sát thông tin lịch làm việc
5: Nhập giờ khám
6: Nhấn nút Đặt lịch</t>
  </si>
  <si>
    <t>Hệ thống hiển thị bác sĩ không có lịch làm việc trong ngày này, không tạo lịch hẹn</t>
  </si>
  <si>
    <t>TCBooking5</t>
  </si>
  <si>
    <t>3. Kiểm tra định dạng dữ liệu</t>
  </si>
  <si>
    <t>Hệ thống hoạt động đúng, có hiện thông báo đặt lịch thất bại.</t>
  </si>
  <si>
    <t>TC-BOOKING-006</t>
  </si>
  <si>
    <t>Chọn giờ ngoài lịch làm việc của bác sĩ</t>
  </si>
  <si>
    <t>1: Đăng nhập bằng tài khoản bệnh nhân
2: Chọn bác sĩ và mở trang đặt lịch
3: Chọn ngày bác sĩ có lịch làm việc
4: Nhập giờ nằm ngoài các ca làm việc, ví dụ 12:00
5: Nhấn nút Đặt lịch</t>
  </si>
  <si>
    <t>Hệ thống không tạo lịch hẹn và hiển thị thông báo bác sĩ không làm việc vào thời gian đã chọn</t>
  </si>
  <si>
    <t>TCBooking6</t>
  </si>
  <si>
    <t>TC-REGISTER-010</t>
  </si>
  <si>
    <t>Đăng ký với email không đúng định dạng</t>
  </si>
  <si>
    <t>1: Mở trang đăng ký.
2: Nhập email không đúng định dạng, ví dụ kimphunggmail.com.
3: Nhập hợp lệ các trường còn lại.
4: Nhấn nút Đăng ký.</t>
  </si>
  <si>
    <t>Hệ thống không tạo tài khoản và hiển thị thông báo email không hợp lệ.</t>
  </si>
  <si>
    <t>TCRegister10</t>
  </si>
  <si>
    <t>TC-BOOKING-007</t>
  </si>
  <si>
    <t>Đặt lịch trùng với giờ đã có bệnh nhân đặt</t>
  </si>
  <si>
    <t>Hệ thống không cho phép đăng ký khi email không đúng định dạng và hiển thị thông báo yêu cầu nhập địa chỉ email hợp lệ.</t>
  </si>
  <si>
    <t>1: Đăng nhập bằng tài khoản bệnh nhân
2: Chọn bác sĩ và mở trang đặt lịch
3: Chọn ngày có giờ đã được đặt
4: Quan sát danh sách giờ đã được đặt
5: Nhập một giờ đang hiển thị trong danh sách
6: Nhấn nút Đặt lịch</t>
  </si>
  <si>
    <t>Hệ thống không tạo lịch hẹn mới và hiển thị thông báo giờ đã có người đặt</t>
  </si>
  <si>
    <t>TCBooking7</t>
  </si>
  <si>
    <t>TC-REGISTER-011</t>
  </si>
  <si>
    <t>Đăng ký với số điện thoại không đúng định dạng</t>
  </si>
  <si>
    <t>1: Mở trang đăng ký.
2: Nhập số điện thoại gồm 11 chữ số.
3: Nhập hợp lệ các trường còn lại.
4: Nhấn nút Đăng ký.</t>
  </si>
  <si>
    <t>Hệ thống không tạo tài khoản và hiển thị thông báo số điện thoại không hợp lệ.</t>
  </si>
  <si>
    <t>TCRegister11_1, TCRegister11_2</t>
  </si>
  <si>
    <t>TC-BOOKING-008</t>
  </si>
  <si>
    <t>Đặt lịch trong khoảng thời gian gần với lịch hẹn đã tồn tại</t>
  </si>
  <si>
    <t>1: Đăng nhập bằng tài khoản bệnh nhân patient_an.
2: Đặt lịch hẹn với bác sĩ lúc 15:30 vào ngày bác sĩ có làm.
3: Đăng xuất và đăng nhập bằng tài khoản bệnh nhân patient_chi
4: Đặt lịch hẹn cùng ngày nhập giờ 15:31
5: Nhấn nút Đặt lịch</t>
  </si>
  <si>
    <t>Hệ thống không cho phép tạo lịch hẹn trong khoảng thời gian gần với lịch hẹn đã tồn tại và hiển thị thông báo thời gian khám không khả dụng.</t>
  </si>
  <si>
    <t>TCBooking8</t>
  </si>
  <si>
    <t>Hệ thống vẫn cho phép đăng ký với số điện thoại 11 chữ số và chuyển đến trang đăng nhập, không hiển thị thông báo số điện thoại không hợp lệ.</t>
  </si>
  <si>
    <t>TCRegisterRetest11</t>
  </si>
  <si>
    <t>Phát hiện lỗi, cần giới hạn khoảng cách tối thiểu 30 phút giữa các lịch hẹn.</t>
  </si>
  <si>
    <t>TCBookingRetest8</t>
  </si>
  <si>
    <t>TC-REGISTER-012</t>
  </si>
  <si>
    <t>Xác nhận mật khẩu không khớp</t>
  </si>
  <si>
    <t xml:space="preserve">5. Kiểm tra quyền truy cập chức năng đặt lịch        </t>
  </si>
  <si>
    <t>1: Mở trang đăng ký.
2: Nhập mật khẩu hợp lệ.
3: Nhập xác nhận mật khẩu khác với mật khẩu đã nhập.
4: Nhập hợp lệ các trường còn lại.
5: Nhấn nút Đăng ký.</t>
  </si>
  <si>
    <t>Hệ thống không tạo tài khoản và hiển thị thông báo xác nhận mật khẩu không khớp.</t>
  </si>
  <si>
    <t>TCRegister12</t>
  </si>
  <si>
    <t>TC-BOOKING-009</t>
  </si>
  <si>
    <t>Kiểm tra nút Đặt lịch hẹn điều hướng đúng đến bác sĩ được chọn, với người dùng chưa đăng nhập.</t>
  </si>
  <si>
    <t>1: Mở trang bác sĩ.
2: Chọn một bác sĩ, ví dụ Tran Binh.
3: Nhấn Đặt lịch hẹn trên đúng card của bác sĩ đó.
4: Quan sát trang được điều hướng đến.</t>
  </si>
  <si>
    <t>Hệ thống điều hướng sang trang Đặt lịch hẹn khám của đúng bác sĩ đã chọn. Thông tin bác sĩ trên trang đặt lịch tương ứng với Tran Binh. Không điều hướng sang bác sĩ khác và không phát sinh lỗi.</t>
  </si>
  <si>
    <t>Hệ thống không cho phép đăng ký khi xác nhận mật khẩu không khớp với mật khẩu và hiển thị thông báo.</t>
  </si>
  <si>
    <t>TCBooking9_1, TCBooking9_2</t>
  </si>
  <si>
    <t>TC-REGISTER-013</t>
  </si>
  <si>
    <t>Đăng ký với mật khẩu ngắn hơn 7 ký tự</t>
  </si>
  <si>
    <t>1: Mở trang đăng ký.
2: Nhập mật khẩu ngắn hơn 7 ký tự 
3: Nhập xác nhận mật khẩu trùng khớp.
4: Nhập hợp lệ các trường còn lại.
5: Nhấn nút Đăng ký.</t>
  </si>
  <si>
    <t>Hệ thống không tạo tài khoản và hiển thị thông báo mật khẩu không hợp lệ.</t>
  </si>
  <si>
    <t>TCRegister13_1, TCRegister13_2</t>
  </si>
  <si>
    <t>Guest chưa đăng nhập vẫn truy cập được trang đặt lịch. Cần bổ sung kiểm tra xác thực trước khi cho phép truy cập chức năng đặt lịch.</t>
  </si>
  <si>
    <t>Hệ thống vẫn cho phép đăng ký với mật khẩu chỉ có 6 ký tự và chuyển đến trang đăng nhập, không hiển thị thông báo mật khẩu không hợp lệ.</t>
  </si>
  <si>
    <t>TCRegisterRetest13</t>
  </si>
  <si>
    <t>TC-REGISTER-014</t>
  </si>
  <si>
    <t>Đăng ký với mật khẩu không chứa chữ in hoa</t>
  </si>
  <si>
    <t>1: Mở trang đăng ký.
2: Nhập mật khẩu không có chữ in hoa, có số, có chữ thường và ký tự đặc biệt 
3: Nhập xác nhận mật khẩu trùng khớp.
4: Nhập hợp lệ các trường còn lại.
5: Nhấn nút Đăng ký.</t>
  </si>
  <si>
    <t>Hệ thống không tạo tài khoản và hiển thị thông báo mật khẩu phải chứa ít nhất một chữ in hoa.</t>
  </si>
  <si>
    <t xml:space="preserve">TCRegister14_1,TCRegister14_2 </t>
  </si>
  <si>
    <t>Hệ thống vẫn cho phép đăng ký với mật khẩu không có ký tự hoa và chuyển đến trang đăng nhập, không hiển thị thông báo mật khẩu không hợp lệ.</t>
  </si>
  <si>
    <t>TCRegisterRetest14</t>
  </si>
  <si>
    <t>TC-REGISTER-015</t>
  </si>
  <si>
    <t>Đăng ký với mật khẩu không chứa chữ thường</t>
  </si>
  <si>
    <t>1: Mở trang đăng ký.
2: Nhập mật khẩu không có chữ thường, có số, có chữ hoa và ký tự đặc biệt 
3: Nhập xác nhận mật khẩu trùng khớp.
4: Nhập hợp lệ các trường còn lại.
5: Nhấn nút Đăng ký.</t>
  </si>
  <si>
    <t>Hệ thống không tạo tài khoản và hiển thị thông báo mật khẩu phải chứa ít nhất một chữ thường.</t>
  </si>
  <si>
    <t>TCRegister15_1, TCRegister15_2</t>
  </si>
  <si>
    <t>Hệ thống vẫn cho phép đăng ký với mật khẩu không có chữ thường và chuyển đến trang đăng nhập, không hiển thị thông báo mật khẩu không hợp lệ.</t>
  </si>
  <si>
    <t>TCRegisterRetest15</t>
  </si>
  <si>
    <t>TC-REGISTER-016</t>
  </si>
  <si>
    <t>Đăng ký với mật khẩu không chứa số</t>
  </si>
  <si>
    <t>1: Mở trang đăng ký.
2: Nhập mật khẩu không có số, có chữ thường, có chữ hoa và ký tự đặc biệt 
3: Nhập xác nhận mật khẩu trùng khớp.
4: Nhập hợp lệ các trường còn lại.
5: Nhấn nút Đăng ký.</t>
  </si>
  <si>
    <t>Hệ thống không tạo tài khoản và hiển thị thông báo mật khẩu phải chứa ít nhất một chữ số.</t>
  </si>
  <si>
    <t>TCRegister16_1, TCRegister16_2</t>
  </si>
  <si>
    <t>Hệ thống vẫn cho phép đăng ký với mật khẩu không có chữ số và chuyển đến trang đăng nhập, không hiển thị thông báo mật khẩu không hợp lệ.</t>
  </si>
  <si>
    <t>TCRegisterRetest16</t>
  </si>
  <si>
    <t>TC-REGISTER-017</t>
  </si>
  <si>
    <t xml:space="preserve">Đăng ký với mật khẩu không chứa ký tự đặc biệt </t>
  </si>
  <si>
    <t>1: Mở trang đăng ký.
2: Nhập mật khẩu không có ký tự đặc biệt, có số, có chữ thường, có chữ hoa  
3: Nhập xác nhận mật khẩu trùng khớp.
4: Nhập hợp lệ các trường còn lại.
5: Nhấn nút Đăng ký.</t>
  </si>
  <si>
    <t>Hệ thống không tạo tài khoản và hiển thị thông báo mật khẩu phải chứa ít nhất một ký tự đặc biệt.</t>
  </si>
  <si>
    <t xml:space="preserve">TCRegister17_1,TCRegister17_2 </t>
  </si>
  <si>
    <t>Hệ thống vẫn cho phép đăng ký với mật khẩu không có ký tự đặc biệt và chuyển đến trang đăng nhập, không hiển thị thông báo mật khẩu không hợp lệ.</t>
  </si>
  <si>
    <t>TCRegisterRetest17</t>
  </si>
  <si>
    <t xml:space="preserve">4. Kiểm tra dữ liệu đã tồn tại     </t>
  </si>
  <si>
    <t>TC-REGISTER-018</t>
  </si>
  <si>
    <t>Đăng ký với tên đăng nhập đã tồn tại</t>
  </si>
  <si>
    <t>1: Mở trang đăng ký.
2: Nhập tên đăng nhập là patient_an đã có trong hệ thống.
3: Nhập hợp lệ các trường còn lại.
4: Nhấn nút Đăng ký.</t>
  </si>
  <si>
    <t xml:space="preserve">Hệ thống không tạo tài khoản và hiển thị thông báo tên đăng nhập đã tồn tại.
</t>
  </si>
  <si>
    <t>TCRegister18_1, TCRegister18_2</t>
  </si>
  <si>
    <t>Hệ thống chưa hiển thị thông báo cụ thể khi người dùng đăng ký bằng tên đăng nhập đã tồn tại.</t>
  </si>
  <si>
    <t>TCRegisterRetest18</t>
  </si>
  <si>
    <t>TC-REGISTER-019</t>
  </si>
  <si>
    <t>Đăng ký với email đã tồn tại</t>
  </si>
  <si>
    <t>1: Mở trang đăng ký.
2: Nhập email là an@gmail.com đã có trong hệ thống.
3: Nhập hợp lệ các trường còn lại.
4: Nhấn nút Đăng ký.</t>
  </si>
  <si>
    <t>Hệ thống không tạo tài khoản và hiển thị thông báo email đã tồn tại.</t>
  </si>
  <si>
    <t>TCRegister19_1, TCRegister19_2</t>
  </si>
  <si>
    <t>Hệ thống vẫn cho phép đăng ký tài khoản với email đã tồn tại</t>
  </si>
  <si>
    <t>TCRegisterRetest19</t>
  </si>
  <si>
    <t>APPOINTMENT - Appointment Management</t>
  </si>
  <si>
    <t>Appointment Management and Examination</t>
  </si>
  <si>
    <t>1. Kiểm tra lịch được chuyển đến Admin</t>
  </si>
  <si>
    <t>TC-APPOINTMENT-001</t>
  </si>
  <si>
    <t>Lịch hẹn bệnh nhân vừa đặt được gửi đến trang Quản lý lịch hẹn của Admin.</t>
  </si>
  <si>
    <t>1: Đăng nhập bằng tài khoản bệnh nhân.
2: Chọn bác sĩ có lịch làm việc.
3: Chọn ngày và giờ hợp lệ, chưa có người đặt.
4: Nhập ghi chú nhận diện TC-APPOINTMENT-001.
5: Nhấn nút Đặt lịch.
6: Đăng xuất và đăng nhập bằng tài khoản Admin.
7: Mở trang Quản lý lịch hẹn.
8: Tìm lịch có ghi chú TC-APPOINTMENT-001.</t>
  </si>
  <si>
    <t>Bệnh nhân đặt lịch thành công.
Admin nhìn thấy đúng lịch vừa được bệnh nhân đặt, bao gồm:
- Đúng bệnh nhân.
- Đúng bác sĩ.
- Đúng ngày và giờ khám.
- Đúng ghi chú.
- Trạng thái Chờ xác nhận.
- Có nút Xác nhận và Hủy.</t>
  </si>
  <si>
    <t xml:space="preserve">TCAppointment1_1, TCAppointment1_2, TCAppointment1_3 </t>
  </si>
  <si>
    <t>Lịch hẹn sau khi bệnh nhân đặt được gửi đến Admin đầy đủ và đúng trạng thái Chờ xác nhận.</t>
  </si>
  <si>
    <t>2. Kiểm tra Admin quản lý lịch</t>
  </si>
  <si>
    <t>TC-APPOINTMENT-002</t>
  </si>
  <si>
    <t>Admin xác nhận thành công lịch hẹn đang chờ xác nhận.</t>
  </si>
  <si>
    <t>1: Đăng nhập bằng tài khoản Admin.
2: Mở trang Quản lý lịch hẹn.
3: Tìm lịch TC-APPOINTMENT-002.
4: Kiểm tra lịch đang ở trạng thái Chờ xác nhận.
5: Nhấn nút Xác nhận.
6: Đồng ý trên hộp thoại xác nhận.
7: Tải lại trang.
8: Kiểm tra trạng thái và các nút thao tác.</t>
  </si>
  <si>
    <t>Hệ thống hiển thị thông báo xác nhận thành công.
Trạng thái lịch chuyển từ Chờ xác nhận sang Đã xác nhận.
Nút Xác nhận và Hủy không còn hiển thị.
Thông tin bệnh nhân, bác sĩ, thời gian và ghi chú không bị thay đổi.
Hệ thống không tạo thêm lịch hẹn mới.</t>
  </si>
  <si>
    <t>TCAppointment2_1, TCAppointment2_2</t>
  </si>
  <si>
    <t>Admin xác nhận lịch thành công, trạng thái chuyển sang Đã xác nhận và thông tin lịch không thay đổi.</t>
  </si>
  <si>
    <t>TC-APPOINTMENT-003</t>
  </si>
  <si>
    <t>Admin hủy thành công lịch hẹn đang chờ xác nhận.</t>
  </si>
  <si>
    <t>1: Đăng nhập bằng tài khoản Admin.
2: Mở trang Quản lý lịch hẹn.
3: Tìm lịch TC-APPOINTMENT-003.
4: Kiểm tra lịch đang ở trạng thái Chờ xác nhận.
5: Nhấn nút Hủy.
6: Đồng ý trên hộp thoại xác nhận.
7: Tải lại trang.
8: Kiểm tra trạng thái và các nút thao tác.</t>
  </si>
  <si>
    <t>Hệ thống hiển thị thông báo hủy lịch thành công.
Trạng thái lịch chuyển từ Chờ xác nhận sang Đã hủy.
Nút Xác nhận và Hủy không còn hiển thị.
Thông tin bệnh nhân, bác sĩ, thời gian và ghi chú không bị thay đổi.</t>
  </si>
  <si>
    <t>TCAppointment3_1, TCAppointment3_2, TCAppointment3_3</t>
  </si>
  <si>
    <t>Admin hủy lịch thành công, trạng thái chuyển sang Đã hủy và các nút thao tác không còn hiển thị.</t>
  </si>
  <si>
    <t>3. Kiểm tra quyền bác sĩ theo trạng thái lịch</t>
  </si>
  <si>
    <t>TC-APPOINTMENT-004</t>
  </si>
  <si>
    <t>Bác sĩ chỉ được xem hồ sơ bệnh nhân khi lịch chưa được Admin xác nhận.</t>
  </si>
  <si>
    <t>1: Đăng nhập bằng đúng tài khoản bác sĩ của lịch.
2: Mở trang Lịch hẹn bệnh nhân.
3: Tìm lịch TC-APPOINTMENT-004.
4: Kiểm tra trạng thái của lịch.
5: Kiểm tra các nút thao tác.
6: Nhấn nút Xem hồ sơ.
7: Kiểm tra thông tin hồ sơ bệnh nhân.</t>
  </si>
  <si>
    <t>Bác sĩ nhìn thấy lịch hẹn thuộc mình.
Lịch hiển thị trạng thái Chờ xác nhận.
Bác sĩ được phép xem hồ sơ hoặc lịch sử khám của bệnh nhân.
Không hiển thị nút Khám bệnh.
Bác sĩ không thể tạo hồ sơ bệnh án mới cho lịch này.</t>
  </si>
  <si>
    <t>TCAppointment4</t>
  </si>
  <si>
    <t>Bác sĩ không thể xem hồ sơ bệnh nhân khi lịch đang chờ xác nhận, không đúng với yêu cầu nghiệp vụ.</t>
  </si>
  <si>
    <t>TC-APPOINTMENT-005</t>
  </si>
  <si>
    <t>Bác sĩ truy cập trực tiếp trang khám của lịch chưa được xác nhận.</t>
  </si>
  <si>
    <t>1: Đăng nhập bằng đúng tài khoản bác sĩ của lịch.
2: Lấy appointmentId của lịch TC-APPOINTMENT-005.
3: Nhập trực tiếp URL trang khám có appointmentId đó.
4: Kiểm tra nội dung trang được hiển thị.
5: Thử nhập thông tin khám nếu form vẫn xuất hiện.
6: Thử nhấn nút Lưu hồ sơ.
7: Kiểm tra trạng thái lịch và dữ liệu hồ sơ.</t>
  </si>
  <si>
    <t>Hệ thống không cho phép bác sĩ thực hiện khám bệnh.
Trang khám bị chặn, chuyển hướng hoặc hiển thị thông báo lịch chưa được xác nhận.
Không tạo hồ sơ bệnh án.
Trạng thái lịch vẫn là Chờ xác nhận.</t>
  </si>
  <si>
    <t>TCAppointment5_1, TCAppointment5_2</t>
  </si>
  <si>
    <t>Hệ thống chỉ ẩn nút Khám bệnh trên giao diện nhưng chưa chặn truy cập trực tiếp đối với lịch chưa được Admin xác nhận.</t>
  </si>
  <si>
    <t>TCAppointmentRetest5</t>
  </si>
  <si>
    <t>TC-APPOINTMENT-006</t>
  </si>
  <si>
    <t>Đúng bác sĩ được mở chức năng khám bệnh khi lịch đã được Admin xác nhận.</t>
  </si>
  <si>
    <t>1: Đăng nhập bằng đúng tài khoản bác sĩ của lịch.
2: Mở trang Lịch hẹn bệnh nhân.
3: Tìm lịch TC-APPOINTMENT-006.
4: Kiểm tra trạng thái của lịch.
5: Kiểm tra nút Khám bệnh.
6: Nhấn nút Khám bệnh.
7: Kiểm tra thông tin bệnh nhân và lịch hẹn.
8: Kiểm tra form nhập kết quả khám.</t>
  </si>
  <si>
    <t>Lịch hiển thị trạng thái Đã xác nhận.
Hệ thống hiển thị nút Khám bệnh.
Khi nhấn Khám bệnh, hệ thống mở đúng lịch và đúng bệnh nhân.
Trang khám hiển thị form nhập chẩn đoán và hướng điều trị.
Trạng thái lịch vẫn là Đã xác nhận khi chưa lưu hồ sơ.</t>
  </si>
  <si>
    <t>TCAppointment6_1, TCAppointment6_2</t>
  </si>
  <si>
    <t>Lịch đã xác nhận hiển thị nút Khám bệnh và mở đúng thông tin bệnh nhân cùng form khám.</t>
  </si>
  <si>
    <t>TC-APPOINTMENT-007</t>
  </si>
  <si>
    <t>Bác sĩ không được khám lịch hẹn đã xác nhận nhưng không thuộc mình.</t>
  </si>
  <si>
    <t>1: Đăng nhập bằng một bác sĩ khác với bác sĩ của lịch.
2: Mở trang Lịch hẹn bệnh nhân.
3: Tìm lịch TC-APPOINTMENT-007.
4: Kiểm tra lịch có xuất hiện hay không.
5: Nhập trực tiếp URL trang khám của lịch đó.
6: Quan sát phản hồi của hệ thống.
7: Kiểm tra trạng thái lịch và dữ liệu hồ sơ.</t>
  </si>
  <si>
    <t>Lịch không xuất hiện trong danh sách của bác sĩ khác.
Bác sĩ khác không được mở trang khám của lịch.
Hệ thống hiển thị thông báo không có quyền hoặc chuyển hướng.
Không tạo hồ sơ bệnh án.
Trạng thái lịch không thay đổi.</t>
  </si>
  <si>
    <t>TCAppointment7_1, TCAppointment7_2</t>
  </si>
  <si>
    <t>Hệ thống chưa kiểm tra lịch hẹn có thuộc bác sĩ đang đăng nhập hay không.</t>
  </si>
  <si>
    <t>TCAppointmentRetest7</t>
  </si>
  <si>
    <t>TC-APPOINTMENT-008</t>
  </si>
  <si>
    <t>Bác sĩ không được khám bệnh đối với lịch đã bị Admin hủy.</t>
  </si>
  <si>
    <t>1: Đăng nhập bằng đúng tài khoản bác sĩ của lịch.
2: Mở trang Lịch hẹn bệnh nhân.
3: Tìm lịch TC-APPOINTMENT-008.
4: Kiểm tra trạng thái của lịch.
5: Kiểm tra các nút thao tác.
6: Nhập trực tiếp URL trang khám của lịch.
7: Kiểm tra phản hồi của hệ thống.</t>
  </si>
  <si>
    <t>Lịch hiển thị trạng thái Đã hủy.
Không hiển thị nút Khám bệnh.
Truy cập trực tiếp trang khám bị chặn hoặc chuyển hướng.
Không tạo hồ sơ bệnh án.
Trạng thái lịch vẫn là Đã hủy.</t>
  </si>
  <si>
    <t>TCAppointment8_1, TCAppointment8_2</t>
  </si>
  <si>
    <t>Hệ thống chưa chặn truy cập trực tiếp trang khám đối với lịch đã bị hủy</t>
  </si>
  <si>
    <t>TCAppointmentRetest8</t>
  </si>
  <si>
    <t xml:space="preserve">4. Kiểm tra bác sĩ hoàn thành khám        </t>
  </si>
  <si>
    <t>TC-APPOINTMENT-009</t>
  </si>
  <si>
    <t>Bác sĩ lưu hồ sơ bệnh án và hoàn thành lịch đã xác nhận.</t>
  </si>
  <si>
    <t>1: Đăng nhập bằng đúng tài khoản bác sĩ của lịch.
2: Mở trang Lịch hẹn bệnh nhân.
3: Tìm lịch TC-APPOINTMENT-009.
4: Nhấn nút Khám bệnh.
5: Nhập chẩn đoán và hướng điều trị hợp lệ.
6: Nhấn nút Lưu hồ sơ.
7: Quay lại danh sách lịch hẹn.
8: Kiểm tra trạng thái và hồ sơ vừa tạo.</t>
  </si>
  <si>
    <t>Hệ thống lưu hồ sơ bệnh án thành công.
Hồ sơ được gắn đúng với bệnh nhân, bác sĩ và appointmentId.
Trạng thái lịch chuyển từ Đã xác nhận sang Đã hoàn thành.
Không còn hiển thị nút Khám bệnh.
Bác sĩ có thể mở và xem lại hồ sơ đã tạo.</t>
  </si>
  <si>
    <t>TCAppointment9_1, TCAppointment9_2, TCAppointment9_3</t>
  </si>
  <si>
    <t>Hồ sơ bệnh án được lưu thành công, lịch chuyển sang Đã hoàn thành và hiển thị nút Xem hồ sơ.</t>
  </si>
  <si>
    <t>MEDICAL - Medical Record Management</t>
  </si>
  <si>
    <t>Medical Record Management</t>
  </si>
  <si>
    <t>1. Kiểm tra tạo hồ sơ bệnh án</t>
  </si>
  <si>
    <t>TC-MEDICAL-001</t>
  </si>
  <si>
    <t>Bác sĩ tạo hồ sơ bệnh án thành công cho lịch hẹn đã được xác nhận.</t>
  </si>
  <si>
    <t>1: Chuẩn bị lịch hẹn trạng thái Đã xác nhận và chưa có hồ sơ bệnh án.
2: Đăng nhập bằng đúng tài khoản bác sĩ của lịch.
3: Mở trang Lịch hẹn bệnh nhân.
4: Tìm lịch TC-MEDICAL-001.
5: Nhấn nút Khám bệnh.
6: Nhập chẩn đoán và hướng điều trị hợp lệ.
7: Nhấn nút Lưu hồ sơ bệnh án.
8: Kiểm tra hồ sơ và trạng thái lịch sau khi lưu.</t>
  </si>
  <si>
    <t>Hệ thống tạo hồ sơ bệnh án thành công.
Hồ sơ được gắn đúng với lịch hẹn, bệnh nhân và bác sĩ.
Chẩn đoán và hướng điều trị được lưu chính xác.
Trạng thái lịch chuyển từ Đã xác nhận sang Đã hoàn thành.
Nút Khám bệnh được thay bằng nút Xem hồ sơ.</t>
  </si>
  <si>
    <t>TCMedical1_1, TCMedical1_2, TCMedical1_3</t>
  </si>
  <si>
    <t>Bác sĩ tạo hồ sơ bệnh án thành công, dữ liệu được lưu đúng và lịch hẹn chuyển sang trạng thái Đã hoàn thành.</t>
  </si>
  <si>
    <t>TC-MEDICAL-002</t>
  </si>
  <si>
    <t>Không cho phép bác sĩ tạo hồ sơ bệnh án khi bỏ trống chẩn đoán.</t>
  </si>
  <si>
    <t>1: Chuẩn bị lịch hẹn trạng thái Đã xác nhận và chưa có hồ sơ bệnh án.
2: Đăng nhập bằng đúng tài khoản bác sĩ của lịch.
3: Mở trang Khám bệnh của lịch TC-MEDICAL-002.
4: Để trống trường Chẩn đoán.
5: Nhập hướng điều trị hợp lệ.
6: Nhấn nút Lưu hồ sơ bệnh án.
7: Kiểm tra thông báo và trạng thái lịch.</t>
  </si>
  <si>
    <t>Hệ thống hiển thị thông báo yêu cầu nhập đầy đủ chẩn đoán.
Không tạo hồ sơ bệnh án mới.
Trạng thái lịch vẫn là Đã xác nhận.
Dữ liệu hướng điều trị chưa được lưu.</t>
  </si>
  <si>
    <t>TCMedical2_1, TCMedical2_2, TCMedical2_3</t>
  </si>
  <si>
    <t>Hệ thống hiển thị cảnh báo khi bỏ trống chẩn đoán, không tạo hồ sơ bệnh án và giữ nguyên trạng thái</t>
  </si>
  <si>
    <t>TC-MEDICAL-003</t>
  </si>
  <si>
    <t>Không cho phép bác sĩ tạo hồ sơ bệnh án khi bỏ trống hướng điều trị.</t>
  </si>
  <si>
    <t>1: Chuẩn bị lịch hẹn trạng thái Đã xác nhận và chưa có hồ sơ bệnh án.
2: Đăng nhập bằng đúng tài khoản bác sĩ của lịch.
3: Mở trang Khám bệnh của lịch TC-MEDICAL-003.
4: Nhập chẩn đoán hợp lệ.
5: Để trống trường Hướng điều trị.
6: Nhấn nút Lưu hồ sơ bệnh án.
7: Kiểm tra thông báo và trạng thái lịch.</t>
  </si>
  <si>
    <t>Hệ thống hiển thị thông báo yêu cầu nhập đầy đủ hướng điều trị.
Không tạo hồ sơ bệnh án mới.
Trạng thái lịch vẫn là Đã xác nhận.
Dữ liệu chẩn đoán chưa được lưu.</t>
  </si>
  <si>
    <t>TCMedical3_1, TCMedical3_2, TCMedical3_3</t>
  </si>
  <si>
    <t>Hệ thống hiển thị cảnh báo khi bỏ trống hướng điều trị, không tạo hồ sơ bệnh án và giữ nguyên trạng thái Đã xác nhận.</t>
  </si>
  <si>
    <t>TC-MEDICAL-004</t>
  </si>
  <si>
    <t>Không cho phép tạo thêm hồ sơ bệnh án cho lịch đã hoàn thành và đã có hồ sơ.</t>
  </si>
  <si>
    <t>1: Chuẩn bị lịch TC-MEDICAL-004 ở trạng thái Đã hoàn thành và đã có hồ sơ bệnh án.
2: Đăng nhập bằng đúng tài khoản bác sĩ của lịch.
3: Mở trang Lịch hẹn bệnh nhân.
4: Tìm lịch TC-MEDICAL-004 và nhấn nút Xem hồ sơ.
5: Kiểm tra hồ sơ bệnh án hiện có được hiển thị đúng.
6: Sao chép appointmentId của lịch.
7: Nhập trực tiếp URL trang Khám bệnh với appointmentId đó.
8: Kiểm tra hệ thống có chặn form tạo hồ sơ mới hay không.</t>
  </si>
  <si>
    <t>Bác sĩ xem được hồ sơ bệnh án hiện có. Khi truy cập trực tiếp trang Khám bệnh của lịch đã hoàn thành, hệ thống chặn truy cập và không hiển thị form tạo hồ sơ mới. Hồ sơ cũ không bị thay đổi và lịch vẫn ở trạng thái Đã hoàn thành.</t>
  </si>
  <si>
    <t>TCMedical4_1, TCMedical4_2</t>
  </si>
  <si>
    <t>Hệ thống cho phép xem hồ sơ hiện có nhưng chặn mở lại trang Khám bệnh để tạo hồ sơ bệnh án thứ hai.</t>
  </si>
  <si>
    <t>2. Kiểm tra xem hồ sơ bệnh án</t>
  </si>
  <si>
    <t>TC-MEDICAL-005</t>
  </si>
  <si>
    <t>Bác sĩ xem lại đúng hồ sơ bệnh án của lịch đã hoàn thành.</t>
  </si>
  <si>
    <t>1: Chuẩn bị lịch hẹn trạng thái Đã hoàn thành và đã có hồ sơ bệnh án.
2: Đăng nhập bằng đúng tài khoản bác sĩ của lịch.
3: Mở trang Lịch hẹn bệnh nhân.
4: Tìm lịch TC-MEDICAL-005.
5: Nhấn nút Xem hồ sơ.
6: Kiểm tra thông tin bệnh nhân và bác sĩ.
7: Kiểm tra chẩn đoán và hướng điều trị.</t>
  </si>
  <si>
    <t>Hệ thống mở đúng hồ sơ bệnh án của lịch hẹn.
Hiển thị đúng bệnh nhân và bác sĩ phụ trách.
Hiển thị đúng chẩn đoán và hướng điều trị đã lưu.
Hồ sơ được gắn đúng với appointmentId.
Không làm thay đổi trạng thái hoặc dữ liệu hồ sơ.</t>
  </si>
  <si>
    <t>TCMedical5_1, TCMedical5_2</t>
  </si>
  <si>
    <t>Hệ thống mở đúng hồ sơ bệnh án của lịch đã hoàn thành và hiển thị đầy đủ, chính xác thông tin đã lưu.</t>
  </si>
  <si>
    <t>3. Kiểm tra cập nhật hồ sơ bệnh án</t>
  </si>
  <si>
    <t>TC-MEDICAL-006</t>
  </si>
  <si>
    <t>Bác sĩ cập nhật thành công hồ sơ bệnh án thuộc lịch của mình.</t>
  </si>
  <si>
    <t>1: Chuẩn bị lịch hẹn Đã hoàn thành và đã có hồ sơ bệnh án.
2: Đăng nhập bằng đúng tài khoản bác sĩ của lịch.
3: Mở hồ sơ bệnh án của lịch TC-MEDICAL-006.
4: Nhấn nút Cập nhật hồ sơ.
5: Thay đổi chẩn đoán hoặc hướng điều trị.
6: Nhấn nút Lưu cập nhật.
7: Mở lại hồ sơ bệnh án.
8: Kiểm tra nội dung và trạng thái lịch.</t>
  </si>
  <si>
    <t>Hệ thống cập nhật hồ sơ bệnh án thành công.
Nội dung mới được hiển thị chính xác.
Hệ thống cập nhật hồ sơ hiện tại, không tạo thêm hồ sơ mới.
Hồ sơ vẫn gắn đúng với bệnh nhân, bác sĩ và lịch hẹn.
Trạng thái lịch vẫn là Đã hoàn thành.</t>
  </si>
  <si>
    <t>TCMedical6_1, TCMedical6_2, TCMedical6_3</t>
  </si>
  <si>
    <t>Hệ thống cho phép bác sĩ cập nhật hồ sơ bệnh án thành công. Sau khi lưu, thông báo thành công hiển thị và nội dung hồ sơ được cập nhật đúng theo dữ liệu mới.</t>
  </si>
  <si>
    <t>TC-MEDICAL-007</t>
  </si>
  <si>
    <t>Bác sĩ không được xem hồ sơ bệnh án không thuộc mình.</t>
  </si>
  <si>
    <t>1: Chuẩn bị hồ sơ bệnh án thuộc bác sĩ Ly Minh.
2: Đăng nhập bằng tài khoản bác sĩ Tran Binh.
3: Mở trang Lịch hẹn bệnh nhân.
4: Kiểm tra lịch đó không xuất hiện trong danh sách.
5: Nhập trực tiếp URL xem hồ sơ bệnh án.
6: Kiểm tra nội dung trang được hiển thị.
7: Kiểm tra dữ liệu hồ sơ có bị thay đổi hay không.</t>
  </si>
  <si>
    <t>Hồ sơ không xuất hiện trong danh sách của bác sĩ Tran Binh. Khi truy cập trực tiếp URL, hệ thống chặn truy cập hoặc hiển thị thông báo không có quyền. Thông tin bệnh nhân và nội dung hồ sơ không được hiển thị. Dữ liệu hồ sơ không thay đổi.</t>
  </si>
  <si>
    <t>TCMedical7</t>
  </si>
  <si>
    <t>Hệ thống chưa kiểm tra quyền xem hồ sơ, nên bác sĩ Tran Binh vẫn xem được chi tiết hồ sơ thuộc bác sĩ Ly Minh.</t>
  </si>
  <si>
    <t>TCMedicalRetest7</t>
  </si>
  <si>
    <t>TC-MEDICAL-008</t>
  </si>
  <si>
    <t>Bác sĩ không được cập nhật hồ sơ bệnh án không thuộc mình.</t>
  </si>
  <si>
    <t>1: Chuẩn bị hồ sơ bệnh án của lịch TC-MEDICAL-008 thuộc bác sĩ Ly Minh.
2: Đăng nhập bằng tài khoản bác sĩ Tran Binh.
3: Nhập trực tiếp URL xem hồ sơ của lịch TC-MEDICAL-008.
4: Kiểm tra thông tin bác sĩ phụ trách trên hồ sơ.
5: Nhấn nút Cập nhật hồ sơ.
6: Thay đổi chẩn đoán và hướng điều trị.
7: Nhấn nút Lưu thay đổi.
8: Kiểm tra thông báo và nội dung hồ sơ sau khi lưu.</t>
  </si>
  <si>
    <t>Hệ thống không cho phép bác sĩ Tran Binh cập nhật hồ sơ thuộc bác sĩ Ly Minh.
Nút Cập nhật hồ sơ không được hiển thị hoặc thao tác cập nhật bị chặn.
Hệ thống hiển thị thông báo không có quyền.
Chẩn đoán và hướng điều trị cũ không bị thay đổi.
Hồ sơ vẫn thuộc đúng bác sĩ Ly Minh.</t>
  </si>
  <si>
    <t>TCMedical8_1, TCMedical8_2, TCMedical8_3</t>
  </si>
  <si>
    <t>Hệ thống chưa kiểm tra quyền sở hữu hồ sơ khi cập nhật. Bác sĩ Tran Binh vẫn mở được chức năng Cập nhật hồ sơ thuộc bác sĩ Ly Minh, thay đổi dữ liệu và lưu thành công.</t>
  </si>
  <si>
    <t>TCMedicalRetest8</t>
  </si>
  <si>
    <t>TC-MEDICAL-009</t>
  </si>
  <si>
    <t>Hủy cập nhật hồ sơ bệnh án không làm thay đổi dữ liệu đã lưu.</t>
  </si>
  <si>
    <t>1: Chuẩn bị lịch TC-MEDICAL-009 ở trạng thái Đã hoàn thành và đã có hồ sơ bệnh án.
2: Đăng nhập bằng đúng tài khoản bác sĩ Ly Minh.
3: Mở trang Lịch hẹn bệnh nhân.
4: Tìm lịch TC-MEDICAL-009 và nhấn nút Xem hồ sơ.
5: Nhấn nút Cập nhật hồ sơ.
6: Thay đổi chẩn đoán và hướng điều trị bằng nội dung mới.
7: Nhấn nút Hủy.
8: Kiểm tra nội dung hồ sơ bệnh án sau khi hủy.</t>
  </si>
  <si>
    <t>Hệ thống hủy thao tác cập nhật và đóng form chỉnh sửa.
Dữ liệu mới nhập không được lưu.
Chẩn đoán và hướng điều trị cũ vẫn được giữ nguyên.
Hồ sơ vẫn thuộc đúng bệnh nhân, bác sĩ và lịch hẹn.
Trạng thái lịch vẫn là Đã hoàn thành.</t>
  </si>
  <si>
    <t>TCMedical9_1, TCMedical9_2, TCMedical9_3</t>
  </si>
  <si>
    <t>Hệ thống hủy thao tác cập nhật thành công, không lưu dữ liệu tạm và giữ nguyên nội dung hồ sơ bệnh án ban đầu.</t>
  </si>
  <si>
    <t>SCHEDULE - Doctor Schedule Management</t>
  </si>
  <si>
    <t>Doctor Schedule Management</t>
  </si>
  <si>
    <t>1. Kiểm tra hiển thị form Thêm lịch làm việc</t>
  </si>
  <si>
    <t>TC-DS-ADMIN-001</t>
  </si>
  <si>
    <t>Kiểm tra form Thêm lịch làm việc hiển thị đầy đủ các trường, danh sách lựa chọn và giá trị mặc định.</t>
  </si>
  <si>
    <t>1: Đăng nhập bằng tài khoản Admin.
2: Mở trang Quản lý lịch làm việc.
3: Quan sát các trường và nút trên form Thêm lịch làm việc.
4: Mở danh sách Bác sĩ và kiểm tra các lựa chọn.
5: Mở danh sách Ca làm việc và kiểm tra các lựa chọn.
6: Mở danh sách Trạng thái và kiểm tra các lựa chọn.
7: Quan sát các giá trị mặc định của form.</t>
  </si>
  <si>
    <t>Hiển thị đầy đủ các trường Bác sĩ, Ngày làm việc, Ca làm việc, Trạng thái, Ghi chú và nút Thêm lịch; hiển thị đúng danh sách 4 bác sĩ; Bác sĩ mặc định là -- Chọn bác sĩ --; Ngày làm việc để trống; Ca mặc định là Ca sáng và có đủ 3 ca làm việc; Trạng thái mặc định là Có lịch làm việc và có đủ 2 trạng thái; Ghi chú để trống.</t>
  </si>
  <si>
    <t>TCDsAdmin1_1, TCDsAdmin1_2, TCDsAdmin1_3</t>
  </si>
  <si>
    <t>Giao diện hệ thống hiển thị đúng.</t>
  </si>
  <si>
    <t>2. Kiểm tra thêm lịch với dữ liệu hợp lệ</t>
  </si>
  <si>
    <t>TC-DS-ADMIN-002</t>
  </si>
  <si>
    <t>Admin thêm lịch ca sáng với trạng thái Có lịch làm việc và dữ liệu hợp lệ.</t>
  </si>
  <si>
    <t>1: Chọn bác sĩ Tran Binh.
2: Nhập ngày 08/08/2026, hiện chưa có lịch
3: Chọn Ca sáng: 07:00 - 11:30.
4: Chọn trạng thái Có lịch làm việc.
5: Nhập ghi chú Ca sáng.
6: Nhấn nút Thêm lịch.
7: Chuyển đến tuần chứa ngày vừa chọn nếu cần.
8: Kiểm tra bảng Lịch làm việc theo tuần.
9: Kiểm tra Danh sách lịch làm việc.</t>
  </si>
  <si>
    <t>Thêm lịch thành công và hiển thị đúng bác sĩ, ngày, ca, trạng thái, ghi chú.</t>
  </si>
  <si>
    <t>TCDsAdmin2</t>
  </si>
  <si>
    <t>Hệ thống báo lỗi "Có lỗi xảy ra. Kiểm tra lại đăng nhập hoặc dữ liệu nhập."</t>
  </si>
  <si>
    <t>TCDsAdminRetest2_1, TCDsAdminRetest2_2</t>
  </si>
  <si>
    <t>TC-DS-ADMIN-003</t>
  </si>
  <si>
    <t>Kiểm tra Admin có thể thêm lịch với trạng thái Không làm việc.</t>
  </si>
  <si>
    <t>1: Chọn bác sĩ Tran Binh.
2: Nhập ngày 08/08/2026 (bác sĩ chưa có lịch trong ca này).
3: Chọn Ca tối: 17:30 - 21:00.
4: Chọn trạng thái Không làm việc.
5: Nhập ghi chú Không trực.
6: Nhấn nút Thêm lịch.
7: Chuyển đến tuần chứa ngày vừa chọn nếu cần.
8: Kiểm tra bảng Lịch làm việc theo tuần.
9: Kiểm tra Danh sách lịch làm việc.</t>
  </si>
  <si>
    <t>Thêm lịch thành công với trạng thái Không làm việc và ghi chú Không trực.</t>
  </si>
  <si>
    <t>TCDsAdmin3</t>
  </si>
  <si>
    <t>TCDsAdminRetest3_1, TCDsAdminRetest3_2</t>
  </si>
  <si>
    <t>TC-DS-ADMIN-004</t>
  </si>
  <si>
    <t>Kiểm tra Admin có thể thêm lịch để trống ô ghi chú.</t>
  </si>
  <si>
    <t>1: Chọn bác sĩ Tran Binh, ngày 08/08/2026 và Ca tối.
2: Chọn trạng thái Có lịch làm việc.
3: Để trống Ghi chú.
4: Nhấn Thêm lịch.
5: Kiểm tra lịch vừa tạo.</t>
  </si>
  <si>
    <t>Lịch vẫn được thêm thành công và cột Ghi chú để trống.</t>
  </si>
  <si>
    <t>TCDsAdmin4</t>
  </si>
  <si>
    <t>TCDsAdminRetest4_1, TCDsAdminRetest4_2</t>
  </si>
  <si>
    <t>3. Kiểm tra các trường bắt buộc</t>
  </si>
  <si>
    <t>TC-DS-ADMIN-005</t>
  </si>
  <si>
    <t>Kiểm tra hệ thống xử lý khi Admin chưa chọn bác sĩ.</t>
  </si>
  <si>
    <t>1: Giữ trường Bác sĩ ở -- Chọn bác sĩ --.
2: Chọn ngày làm việc hợp lệ.
3: Giữ nguyên ca và trạng thái mặc định.
4: Nhập ghi chú Ca sáng
5: Nhấn Thêm lịch.</t>
  </si>
  <si>
    <t>Hiển thị yêu cầu chọn bác sĩ và không tạo lịch mới.</t>
  </si>
  <si>
    <t>TCDsAdmin5</t>
  </si>
  <si>
    <t>Có thông báo chặn thao tác do trường Bác sĩ là bắt buộc.</t>
  </si>
  <si>
    <t>TC-DS-ADMIN-006</t>
  </si>
  <si>
    <t>Kiểm tra hệ thống xử lý khi Admin chưa chọn ngày làm việc.</t>
  </si>
  <si>
    <t>1: Chọn bác sĩ Tran Binh
2: Để trống Ngày làm việc
3: Giữ nguyên ca và trạng thái mặc định.
4: Nhập ghi chú Ca sáng
5: Nhấn Thêm lịch.</t>
  </si>
  <si>
    <t>Hiển thị yêu cầu chọn ngày và không tạo lịch mới.</t>
  </si>
  <si>
    <t>TCDsAdmin6</t>
  </si>
  <si>
    <t>Có thông báo chặn thao tác do trường Ngày làm việc là bắt buộc.</t>
  </si>
  <si>
    <t>4. Kiểm tra ngày làm việc</t>
  </si>
  <si>
    <t>TC-DS-ADMIN-007</t>
  </si>
  <si>
    <t>Kiểm tra hệ thống có ngăn tạo lịch làm việc cho ngày đã qua hay không.</t>
  </si>
  <si>
    <t>1: Chọn bác sĩ Tran Binh.
2: Nhập ngày 01/08/2026, hiện chưa có lịch
3: Giữ nguyên ca và trạng thái mặc định.
4: Nhập ghi chú Ca sáng.
5: Nhấn nút Thêm lịch.</t>
  </si>
  <si>
    <t>Không tạo lịch và hiển thị thông báo ngày làm việc không hợp lệ.</t>
  </si>
  <si>
    <t>TCDsAdmin7_1, TCDsAdmin7_2</t>
  </si>
  <si>
    <t>Hệ thống vẫn cho phép thêm lịch ngày 01/08/2026 và hiển thị thông báo ‘Thêm lịch làm việc thành công!’. Không có validation ngăn ngày làm việc đã qua</t>
  </si>
  <si>
    <t>5. Kiểm tra trùng và xung đột lịch làm việc</t>
  </si>
  <si>
    <t>TC-DS-ADMIN-008</t>
  </si>
  <si>
    <t>Kiểm tra không cho phép tạo hai lịch trùng hoàn toàn cho cùng một bác sĩ.</t>
  </si>
  <si>
    <t>1: Chọn bác sĩ Tran Binh.
2: Nhập ngày 08/08/2026, hiện chưa có lịch
3: Chọn Ca tối: 17:30 - 21:00.
4: Chọn trạng thái Có lịch làm việc.
5: Nhập ghi chú Ca tối.
6: Nhấn nút Thêm lịch.
7: Nhập lại cùng bác sĩ, ngày, ca, trạng thái và ghi chú rồi nhấn Thêm lịch.
8: Kiểm tra Danh sách lịch làm việc.</t>
  </si>
  <si>
    <t>Không tạo lịch mới và hiển thị thông báo lịch đã tồn tại.</t>
  </si>
  <si>
    <t>TCDsAdmin8_1, TCDsAdmin8_2</t>
  </si>
  <si>
    <t>Hệ thống vẫn tạo bản ghi thứ hai khi bác sĩ, ngày, ca, thời gian, trạng thái và ghi chú trùng hoàn toàn. Danh sách xuất hiện hai lịch ID 182 và 183.</t>
  </si>
  <si>
    <t>TCDsAdminRetest8_1, TCDsAdminRetest8_2</t>
  </si>
  <si>
    <t>TC-DS-ADMIN-009</t>
  </si>
  <si>
    <t>Kiểm tra một bác sĩ được phép làm nhiều ca khác nhau trong cùng ngày.</t>
  </si>
  <si>
    <t xml:space="preserve">1: Đảm bảo bác sĩ Tran Binh đã có lịch Ca tối ngày 08/08/2026.
2: Thêm lịch Ca chiều cho Tran Binh cùng ngày.
3: Kiểm tra bảng tuần và Danh sách lịch làm việc.
</t>
  </si>
  <si>
    <t>Ca chiều được thêm thành công và không ảnh hưởng đến lịch Ca tối đã tồn tại.</t>
  </si>
  <si>
    <t>TCDsAdmin9_1, TCDsAdmin9_2</t>
  </si>
  <si>
    <t>Hệ thống thực hiện đúng, và có thông báo thêm lịch thành công.</t>
  </si>
  <si>
    <t>TC-DS-ADMIN-010</t>
  </si>
  <si>
    <t>Kiểm tra nhiều bác sĩ được phép làm cùng một ngày và cùng ca.</t>
  </si>
  <si>
    <t>1: Thêm lịch Ca sáng cho bác sĩ Tran Binh vào ngày chưa có lịch.
2: Thêm lịch Ca sáng cho bác sĩ Ly Minh trong cùng ngày.
3: Kiểm tra bảng tuần và Danh sách lịch làm việc.</t>
  </si>
  <si>
    <t>Lịch được thêm và hiển thị đầy đủ cả hai bác sĩ trong cùng ca.</t>
  </si>
  <si>
    <t>TCDsAdmin10_1, TCDsAdmin10_2</t>
  </si>
  <si>
    <t>Hệ thống cho phép hai bác sĩ khác nhau có lịch cùng ngày và cùng ca; cả hai lịch được lưu độc lập.</t>
  </si>
  <si>
    <t>TC-DS-ADMIN-011</t>
  </si>
  <si>
    <t>Kiểm tra hệ thống không cho phép tồn tại hai lịch có trạng thái mâu thuẫn cho cùng bác sĩ, cùng ngày và cùng ca.</t>
  </si>
  <si>
    <t>1: Chọn bác sĩ Tran Binh.
2: Chọn ngày làm việc chưa có lịch.
3: Chọn Ca sáng, trạng thái Có lịch làm việc, nhập ghi chú Ca sáng.
4: Nhấn Thêm lịch và xác nhận lịch được tạo thành công.
5: Nhập lại cùng bác sĩ, cùng ngày và cùng Ca sáng.
6: Chọn trạng thái Không làm việc, nhập ghi chú Nghỉ phép.
7: Nhấn Thêm lịch và kiểm tra Danh sách lịch làm việc.</t>
  </si>
  <si>
    <t>Hệ thống không tạo thêm bản ghi mới. Cùng một bác sĩ, ngày và ca chỉ được tồn tại một trạng thái lịch; nếu muốn thay đổi trạng thái thì phải cập nhật lịch hiện có.</t>
  </si>
  <si>
    <t>TCDsAdmin11</t>
  </si>
  <si>
    <t xml:space="preserve">Hệ thống vẫn tạo thêm bản ghi mới, dẫn đến cùng bác sĩ, cùng ngày và cùng ca tồn tại đồng thời trạng thái Có lịch và Không làm.		</t>
  </si>
  <si>
    <t>TCDsAdminRetest11_1, TCDsAdminRetest11_2</t>
  </si>
  <si>
    <t>6. Kiểm tra hành vi form khi thêm lịch</t>
  </si>
  <si>
    <t>TC-DS-ADMIN-012</t>
  </si>
  <si>
    <t>Kiểm tra hệ thống không tạo nhiều bản ghi khi nhấn nút Thêm lịch liên tục.</t>
  </si>
  <si>
    <t>1: Nhập dữ liệu hợp lệ cho một lịch chưa tồn tại.
2: Nhấn nhanh nút Thêm lịch nhiều lần.
3: Chờ hệ thống xử lý.
4: Kiểm tra bảng tuần và danh sách lịch.</t>
  </si>
  <si>
    <t>Chỉ tạo một lịch làm việc.</t>
  </si>
  <si>
    <t>TCDsAdmin12_1, TCDsAdmin12_2, TCDsAdmin12_3</t>
  </si>
  <si>
    <t>Hệ thống chỉ tạo một lịch làm việc dù người dùng nhấn nút Thêm lịch liên tục.</t>
  </si>
  <si>
    <t>TC-DS-ADMIN-013</t>
  </si>
  <si>
    <t>Kiểm tra form trở về trạng thái mặc định sau khi thêm lịch thành công.</t>
  </si>
  <si>
    <t>1: Nhập dữ liệu hợp lệ cho một lịch chưa tồn tại.
2: Nhấn Thêm lịch.
3: Chờ thông báo thành công.
4: Quan sát lại các trường trên form.</t>
  </si>
  <si>
    <t>Sau khi thêm lịch thành công, form trở về trạng thái mặc định: Bác sĩ chưa chọn; Ngày làm việc trống; Ca làm việc = Ca sáng 07:00–11:30; Trạng thái = Có lịch làm việc; Ghi chú trống; nút Thêm lịch tiếp tục hiển thị.</t>
  </si>
  <si>
    <t>TCDsAdmin13_1, TCDsAdmin13_2</t>
  </si>
  <si>
    <t>Sau khi thêm lịch thành công, form được reset đúng về các giá trị mặc định.</t>
  </si>
  <si>
    <t>7. Kiểm tra chức năng lọc và xem lịch làm việc</t>
  </si>
  <si>
    <t>TC-DS-ADMIN-014</t>
  </si>
  <si>
    <t>Kiểm tra Admin có thể lọc lịch làm việc theo một bác sĩ cụ thể.</t>
  </si>
  <si>
    <t>1: Đăng nhập bằng tài khoản Admin.
2: Mở trang Quản lý lịch làm việc.
3: Tại mục Lọc lịch làm việc, chọn bác sĩ Tran Binh.
4: Quan sát bảng Lịch làm việc theo tuần.
5: Kiểm tra các lịch đang hiển thị trong tuần hiện tại.</t>
  </si>
  <si>
    <t>Bảng Lịch làm việc theo tuần chỉ hiển thị lịch của bác sĩ Tran Binh; lịch của các bác sĩ khác không được hiển thị.</t>
  </si>
  <si>
    <t>TCDsAdmin14</t>
  </si>
  <si>
    <t>Bộ lọc theo bác sĩ hoạt động đúng; sau khi chọn Tran Binh, bảng lịch theo tuần chỉ hiển thị lịch của bác sĩ Tran Binh.</t>
  </si>
  <si>
    <t>TC-DS-ADMIN-015</t>
  </si>
  <si>
    <t>Kiểm tra hiển thị lại lịch của tất cả bác sĩ sau khi bỏ điều kiện lọc.</t>
  </si>
  <si>
    <t>1: Tại mục Lọc lịch làm việc, chọn bác sĩ Tran Binh.
2: Xác nhận bảng tuần chỉ hiển thị lịch của Tran Binh.
3: Chọn lại Tất cả bác sĩ.
4: Quan sát bảng Lịch làm việc theo tuần.</t>
  </si>
  <si>
    <t>Hệ thống bỏ điều kiện lọc và hiển thị lại lịch làm việc của tất cả bác sĩ trong tuần đang xem.</t>
  </si>
  <si>
    <t>TCDsAdmin15_1, TCDsAdmin15_2</t>
  </si>
  <si>
    <t>Hệ thống khôi phục đúng dữ liệu khi bỏ điều kiện lọc theo bác sĩ; các lịch của Tran Binh, Pham Dung, Ly Minh và Vu Thinh được hiển thị lại trong bảng tuần.</t>
  </si>
  <si>
    <t>TC-DS-ADMIN-016</t>
  </si>
  <si>
    <t>Kiểm tra Admin có thể chuyển sang tuần trước để xem lịch làm việc.</t>
  </si>
  <si>
    <t>1: Mở trang Quản lý lịch làm việc.
2: Ghi nhận khoảng thời gian của tuần đang hiển thị.
3: Nhấn nút Tuần trước.
4: Quan sát khoảng thời gian tại mục Tuần làm việc.
5: Quan sát ngày và dữ liệu trong bảng Lịch làm việc theo tuần.</t>
  </si>
  <si>
    <t>Hệ thống chuyển về tuần liền trước; khoảng ngày và các cột ngày trong bảng tuần được cập nhật đúng theo tuần mới; dữ liệu lịch hiển thị tương ứng với tuần được chọn.</t>
  </si>
  <si>
    <t>TCDsAdmin16_1, TCDsAdmin16_2</t>
  </si>
  <si>
    <t>Chức năng chuyển về tuần trước hoạt động đúng; khoảng thời gian và dữ liệu lịch được hiển thị theo tuần đã chọn.</t>
  </si>
  <si>
    <t>TC-DS-ADMIN-017</t>
  </si>
  <si>
    <t>Kiểm tra Admin có thể chuyển sang tuần sau để xem lịch làm việc.</t>
  </si>
  <si>
    <t>1: Mở trang Quản lý lịch làm việc.
2: Ghi nhận khoảng thời gian của tuần đang hiển thị.
3: Nhấn nút Tuần sau.
4: Quan sát khoảng thời gian tại mục Tuần làm việc.
5: Quan sát ngày và dữ liệu trong bảng Lịch làm việc theo tuần.</t>
  </si>
  <si>
    <t>Hệ thống chuyển sang tuần liền sau; khoảng ngày và các cột ngày trong bảng tuần được cập nhật đúng theo tuần mới; dữ liệu lịch hiển thị tương ứng với tuần được chọn.</t>
  </si>
  <si>
    <t>TCDsAdmin17_1, TCDsAdmin17_2</t>
  </si>
  <si>
    <t>Chức năng chuyển sang tuần sau hoạt động đúng; khoảng thời gian và dữ liệu lịch được hiển thị theo tuần đã chọn.</t>
  </si>
  <si>
    <t>8. Kiểm tra chức năng sửa lịch làm việc</t>
  </si>
  <si>
    <t>TC-DS-ADMIN-018</t>
  </si>
  <si>
    <t>Kiểm tra Admin cập nhật lịch làm việc của bác sĩ thành công.</t>
  </si>
  <si>
    <t>1: Đăng nhập bằng tài khoản Admin.
2: Mở trang Quản lý lịch làm việc.
3: Tại Danh sách lịch làm việc, chọn một lịch đã tồn tại và nhấn Sửa.
4: Kiểm tra thông tin lịch được hiển thị trên form Cập nhật lịch làm việc.
5: Thay đổi Trạng thái từ Có lịch làm việc thành Không làm việc.
6: Thay đổi Ghi chú thành Nghỉ.
7: Nhấn Cập nhật.
8: Kiểm tra thông báo của hệ thống.
9: Kiểm tra lại lịch trong Danh sách lịch làm việc và bảng Lịch làm việc theo tuần.</t>
  </si>
  <si>
    <t>Hệ thống cập nhật lịch thành công; trạng thái và ghi chú được thay đổi đúng, không tạo thêm bản ghi mới và thông tin được hiển thị đúng trong danh sách và bảng tuần.</t>
  </si>
  <si>
    <t>TCDsAdmin18_1, TCDsAdmin18_2</t>
  </si>
  <si>
    <t>Hệ thống phát sinh lỗi HTTP 400 khi cập nhật lịch làm việc và không lưu thông tin thay đổi.</t>
  </si>
  <si>
    <t>TCDsAdminRetest18_1, TCDsAdminRetest18_2, TCDsAdminRetest18_3</t>
  </si>
  <si>
    <t>TC-DS-ADMIN-019</t>
  </si>
  <si>
    <t>Kiểm tra chức năng Hủy sửa không làm thay đổi dữ liệu lịch.</t>
  </si>
  <si>
    <t>1: Chọn một lịch hiện có trong Danh sách lịch làm việc và ghi nhận thông tin ban đầu.
2: Nhấn Sửa.
3: Thay đổi một số giá trị trên form nhưng chưa nhấn Cập nhật.
4: Nhấn Hủy sửa.
5: Quan sát lại form.
6: Kiểm tra lịch tương ứng trong Danh sách lịch làm việc.</t>
  </si>
  <si>
    <t>Hệ thống thoát chế độ cập nhật và đưa form về trạng thái thêm lịch mặc định; các thay đổi chưa được lưu không làm thay đổi dữ liệu của lịch trong Danh sách lịch làm việc.</t>
  </si>
  <si>
    <t>TCDsAdmin19_1, TCDsAdmin19_2, TCDsAdmin19_3</t>
  </si>
  <si>
    <t>PATIENT - My Appointments</t>
  </si>
  <si>
    <t>Chức năng Hủy sửa hoạt động đúng, không làm thay đổi dữ liệu của lịch hiện có.</t>
  </si>
  <si>
    <t>9. Kiểm tra chức năng xóa lịch làm việc</t>
  </si>
  <si>
    <t>Patient Appointment Tracking</t>
  </si>
  <si>
    <t>TC-DS-ADMIN-020</t>
  </si>
  <si>
    <t>Kiểm tra Admin có thể xóa một lịch làm việc đã tồn tại.</t>
  </si>
  <si>
    <t>1: Tạo hoặc xác định một lịch dùng riêng cho kiểm thử xóa.
2: Kiểm tra lịch đang tồn tại trong Danh sách lịch làm việc.
3: Nhấn nút Xóa tại lịch đó.
4: Xác nhận thao tác xóa nếu hệ thống yêu cầu xác nhận.
5: Chờ hệ thống xử lý.
6: Kiểm tra lại Danh sách lịch làm việc.
7: Kiểm tra bảng Lịch làm việc theo tuần.</t>
  </si>
  <si>
    <t>Hệ thống xóa lịch thành công; lịch đã xóa không còn xuất hiện trong Danh sách lịch làm việc và không còn hiển thị trong bảng Lịch làm việc theo tuần.</t>
  </si>
  <si>
    <t>TCDsAdmin20_1, TCDsAdmin20_2, TCDsAdmin20_3</t>
  </si>
  <si>
    <t>Chức năng xóa lịch hoạt động đúng; hệ thống yêu cầu xác nhận trước khi xóa và loại bỏ lịch khỏi danh sách sau khi xác nhận.</t>
  </si>
  <si>
    <t>1. Kiểm tra truy cập trang Lịch hẹn của tôi</t>
  </si>
  <si>
    <t>TC-MYAPPOINTMENT-001</t>
  </si>
  <si>
    <t>Kiểm tra lịch hẹn sau khi bệnh nhân đặt thành công được hiển thị trong trang Lịch hẹn của tôi với trạng thái ban đầu là Chờ xác nhận.</t>
  </si>
  <si>
    <t>1: Patient thực hiện đặt một lịch khám hợp lệ.
2: Ghi nhận bác sĩ, ngày giờ khám và ghi chú đã nhập.
3: Mở trang Lịch hẹn của tôi.
4: Tìm lịch hẹn vừa tạo.</t>
  </si>
  <si>
    <t>Lịch hẹn vừa tạo xuất hiện trong danh sách.
Tên bác sĩ, thời gian khám và ghi chú hiển thị đúng.
Trạng thái của lịch hẹn là “Chờ xác nhận”.</t>
  </si>
  <si>
    <t>TCMyAppointment1_1, TCMyAppointment1_2, TCMyAppointment1_3</t>
  </si>
  <si>
    <t>Lịch hẹn mới được tạo thành công và hiển thị đúng trạng thái ban đầu “Chờ xác nhận”.</t>
  </si>
  <si>
    <t>2. Admin xử lý lịch hẹn</t>
  </si>
  <si>
    <t>TC-MYAPPOINTMENT-002</t>
  </si>
  <si>
    <t>Kiểm tra trạng thái lịch hẹn của Patient được cập nhật sau khi Admin xác nhận lịch.</t>
  </si>
  <si>
    <t>1: Patient thực hiện đặt một lịch khám hợp lệ.
2: Đăng nhập bằng tài khoản Admin.
3: Mở chức năng quản lý lịch hẹn.
4: Tìm lịch hẹn đang ở trạng thái Chờ xác nhận.
5: Thực hiện Xác nhận lịch hẹn.
6: Đăng xuất Admin.
7: Đăng nhập lại bằng Patient sở hữu lịch hẹn.
8: Mở trang Lịch hẹn của tôi.
9: Kiểm tra lịch hẹn vừa được Admin xử lý.</t>
  </si>
  <si>
    <t>Lịch hẹn vẫn hiển thị đúng bác sĩ, thời gian và ghi chú ban đầu.
Trạng thái được cập nhật từ “Chờ xác nhận” thành “Đã xác nhận”.</t>
  </si>
  <si>
    <t>TCMyAppointment2_1, TCMyAppointment2_2, TCMyAppointment2_3</t>
  </si>
  <si>
    <t>Trạng thái lịch hẹn được đồng bộ chính xác giữa trang quản lý của Admin và trang “Lịch hẹn của tôi” của Patient.</t>
  </si>
  <si>
    <t>TC-MYAPPOINTMENT-003</t>
  </si>
  <si>
    <t>Kiểm tra trạng thái lịch hẹn của Patient sau khi Admin thực hiện hủy lịch.</t>
  </si>
  <si>
    <t>1: Patient thực hiện đặt một lịch khám hợp lệ.
2: Đăng nhập bằng tài khoản Admin.
3: Mở chức năng Quản lý lịch hẹn.
4: Tìm lịch hẹn đang ở trạng thái Chờ xác nhận.
5: Thực hiện Hủy lịch hẹn.
6: Đăng xuất Admin.
7: Đăng nhập lại bằng Patient sở hữu lịch hẹn.
8: Mở trang Lịch hẹn của tôi.
9: Kiểm tra lịch hẹn vừa được Admin hủy.</t>
  </si>
  <si>
    <t>Lịch hẹn vẫn tồn tại trong lịch sử danh sách.
Trạng thái của lịch hẹn được cập nhật thành “Đã hủy”.
Thông tin bác sĩ và thời gian của lịch hẹn không bị thay đổi ngoài trạng thái.</t>
  </si>
  <si>
    <t>TCMyAppointment3_1, TCMyAppointment3_2, TCMyAppointment3_3</t>
  </si>
  <si>
    <t>Trạng thái lịch hẹn được cập nhật đúng từ “Chờ xác nhận” sang “Đã hủy” sau khi Admin thực hiện hủy.</t>
  </si>
  <si>
    <t>3. Bác sĩ thực hiện khám</t>
  </si>
  <si>
    <t>TC-MYAPPOINTMENT-004</t>
  </si>
  <si>
    <t>Kiểm tra lịch hẹn được cập nhật đúng xuyên suốt từ khi Patient đặt lịch, Admin xác nhận đến khi Doctor hoàn thành khám.</t>
  </si>
  <si>
    <t>1: Patient thực hiện đặt một lịch khám hợp lệ với Doctor.
2: Mở Lịch hẹn của tôi và kiểm tra lịch vừa tạo.
3: Đăng nhập Admin và xác nhận lịch hẹn.
4: Đăng nhập Doctor được Patient đặt lịch.
5: Mở Lịch hẹn bệnh nhân và tìm lịch vừa được xác nhận.
6: Chọn Khám bệnh, nhập kết quả khám và lưu hồ sơ bệnh án.
7: Đăng xuất Doctor và đăng nhập lại bằng Patient.
8: Mở Lịch hẹn của tôi.
9: Kiểm tra trạng thái và thông tin lịch hẹn sau khi hoàn thành khám.</t>
  </si>
  <si>
    <t>Sau khi Patient đặt lịch, lịch được tạo với trạng thái “Chờ xác nhận”.
Sau khi Admin xác nhận, lịch chuyển thành “Đã xác nhận” và xuất hiện đúng trong danh sách của Doctor.
Doctor có thể thực hiện khám và lưu hồ sơ bệnh án cho đúng lịch hẹn.
Sau khi Doctor hoàn thành khám, lịch chuyển thành “Đã hoàn thành”.
Trong toàn bộ quá trình, ID, bác sĩ, thời gian khám và ghi chú của lịch hẹn không bị thay đổi ngoài trạng thái.
Không phát sinh thêm bản ghi lịch hẹn trùng.</t>
  </si>
  <si>
    <t>TCMyAppointment4_1, TCMyAppointment4_2, TCMyAppointment4_3, TCMyAppointment4_4</t>
  </si>
  <si>
    <t>Lịch hẹn được cập nhật đúng xuyên suốt từ “Chờ xác nhận” -&gt; “Đã xác nhận” -&gt; “Đã hoàn thành” sau khi Doctor hoàn tất khám.</t>
  </si>
  <si>
    <t>4. Kiểm tra khung giờ được giải phóng sau khi lịch hẹn bị hủy</t>
  </si>
  <si>
    <t>TC-MYAPPOINTMENT-005</t>
  </si>
  <si>
    <t>Kiểm tra khung giờ của một lịch hẹn đã bị hủy có thể được sử dụng để tạo lịch hẹn mới.</t>
  </si>
  <si>
    <t>1: Patient A đặt lịch với Doctor tại một ngày giờ hợp lệ.
2: Admin hủy lịch hẹn của Patient A.
3: Đăng nhập bằng Patient B.
4: Mở chức năng đặt lịch với cùng Doctor.
5: Chọn đúng ngày và giờ của lịch đã bị hủy.
6: Nhập ghi chú và thực hiện đặt lịch.
7: Mở Lịch hẹn của tôi và kiểm tra lịch mới.</t>
  </si>
  <si>
    <t>Lịch của Patient A vẫn giữ trạng thái “Đã hủy”.
Khung giờ của lịch đã hủy được giải phóng.
Patient B có thể đặt lịch mới với cùng Doctor tại cùng ngày giờ.
Lịch mới có ID khác và trạng thái “Chờ xác nhận”.</t>
  </si>
  <si>
    <t>TCMyAppointment5_1, TCMyAppointment5_2, TCMyAppointment5_3</t>
  </si>
  <si>
    <t>Lịch hẹn đã hủy không còn chiếm khung giờ, hệ thống cho phép tạo lịch mới tại cùng ngày giờ với trạng thái “Chờ xác nhận”.</t>
  </si>
  <si>
    <t>MEDICAL - Medical History</t>
  </si>
  <si>
    <t>Patient Medical History</t>
  </si>
  <si>
    <t>1. Kiểm tra thời điểm phát sinh lịch sử khám bệnh</t>
  </si>
  <si>
    <t>TC-MEDICALHISTORY-001</t>
  </si>
  <si>
    <t>Kiểm tra lịch hẹn mới được Patient tạo nhưng chưa được Doctor khám không được ghi nhận vào Lịch sử khám bệnh.</t>
  </si>
  <si>
    <t>1: Patient thực hiện đặt một lịch khám hợp lệ.
2: Mở trang Lịch sử khám bệnh.
3: Kiểm tra danh sách lịch sử khám.</t>
  </si>
  <si>
    <t>Lịch hẹn mới chưa xuất hiện trong Lịch sử khám bệnh.
Không phát sinh bản ghi khám bệnh khi Doctor chưa thực hiện khám.</t>
  </si>
  <si>
    <t>TCMedicalHistory1_1, TCMedicalHistory1_2, TCMedicalHistory1_3</t>
  </si>
  <si>
    <t>Lịch hẹn mới chưa được Doctor khám nên không phát sinh bản ghi trong Lịch sử khám bệnh.</t>
  </si>
  <si>
    <t>TC-MEDICALHISTORY-002</t>
  </si>
  <si>
    <t>Kiểm tra việc Admin xác nhận lịch hẹn không tự động tạo lịch sử khám bệnh khi Doctor chưa thực hiện khám.</t>
  </si>
  <si>
    <t>1: Patient thực hiện đặt một lịch khám hợp lệ.
2: Đăng nhập bằng Admin và xác nhận lịch hẹn vừa tạo.
3: Đăng nhập lại bằng Patient.
4: Mở trang Lịch hẹn của tôi và xác nhận lịch đang ở trạng thái Đã xác nhận.
5: Mở trang Lịch sử khám bệnh.
6: Kiểm tra danh sách lịch sử khám.</t>
  </si>
  <si>
    <t>Lịch hẹn đã xác nhận chưa xuất hiện trong Lịch sử khám bệnh.
Hệ thống chỉ ghi nhận lịch sử khám sau khi Doctor thực hiện khám và lưu kết quả.</t>
  </si>
  <si>
    <t>TCMedicalHistory2_1, TCMedicalHistory2_2, TCMedicalHistory2_3</t>
  </si>
  <si>
    <t>Lịch hẹn đã được Admin xác nhận nhưng chưa được Doctor khám nên chưa phát sinh bản ghi trong Lịch sử khám bệnh.</t>
  </si>
  <si>
    <t>2. Kiểm tra tạo lịch sử khám sau khi Doctor khám</t>
  </si>
  <si>
    <t>TC-MEDICALHISTORY-003</t>
  </si>
  <si>
    <t>Kiểm tra hệ thống ghi nhận lần khám mới vào Lịch sử khám bệnh sau khi Doctor hoàn thành khám và lưu hồ sơ bệnh án.</t>
  </si>
  <si>
    <t>1: Patient thực hiện đặt một lịch khám hợp lệ.
2: Admin xác nhận lịch hẹn vừa tạo.
3: Đăng nhập bằng Doctor được Patient đặt lịch.
4: Mở lịch hẹn và chọn Khám bệnh.
5: Nhập chẩn đoán, hướng điều trị hợp lệ và lưu hồ sơ bệnh án.
6: Đăng nhập lại bằng Patient.
7: Mở trang Lịch sử khám bệnh.
8: Tìm lần khám vừa được Doctor hoàn thành.</t>
  </si>
  <si>
    <t>Lần khám mới xuất hiện trong Lịch sử khám bệnh của Patient.
Bản ghi thuộc đúng Patient và Doctor thực hiện khám.
Không tạo bản ghi trước thời điểm Doctor lưu kết quả khám.</t>
  </si>
  <si>
    <t>TCMedicalHistory3_1, TCMedicalHistory3_2, TCMedicalHistory3_3</t>
  </si>
  <si>
    <t>Sau khi Doctor hoàn thành khám và lưu hồ sơ bệnh án, lần khám mới được ghi nhận đúng trong Lịch sử khám bệnh của Patient.</t>
  </si>
  <si>
    <t>3. Kiểm tra chi tiết lịch sử khám</t>
  </si>
  <si>
    <t>TC-MEDICALHISTORY-004</t>
  </si>
  <si>
    <t>Kiểm tra một bản ghi của lịch sử khám bệnh</t>
  </si>
  <si>
    <t>1: Chuẩn bị Patient có ít nhất một bản ghi trong Lịch sử khám bệnh.
2: Đăng nhập Patient.
3: Mở Lịch sử khám bệnh.
4: Chọn một bản ghi và ghi nhận ID.
5: Nhấn Xem chi tiết.
6: Kiểm tra nội dung trang chi tiết.</t>
  </si>
  <si>
    <t>Mở đúng hồ sơ của record đã chọn.
Hiển thị đầy đủ thông tin hồ sơ.
Thông tin tương ứng đúng với record được chọn.</t>
  </si>
  <si>
    <t>TCMedicalHistory4_1, TCMedicalHistory4-2</t>
  </si>
  <si>
    <t>Nhấn “Xem chi tiết” chuyển đến đúng trang hồ sơ nhưng nội dung chi tiết không được hiển thị.</t>
  </si>
  <si>
    <t>TCMedicalHistoryRetest4_1, TCMedicalHistoryRetest4_2</t>
  </si>
  <si>
    <t>4. Kiểm tra dữ liệu giữa các Patient</t>
  </si>
  <si>
    <t>TC-MEDICALHISTORY-005</t>
  </si>
  <si>
    <t>Kiểm tra mỗi Patient chỉ nhìn thấy các bản ghi Lịch sử khám bệnh thuộc tài khoản của mình.</t>
  </si>
  <si>
    <t>1: Đăng nhập bằng Patient A.
2: Mở trang Lịch sử khám bệnh và ghi nhận các bản ghi hiển thị.
3: Đăng xuất Patient A.
4: Đăng nhập bằng Patient B.
5: Mở trang Lịch sử khám bệnh.
6: So sánh danh sách lịch sử khám của hai Patient.</t>
  </si>
  <si>
    <t>Mỗi Patient hiển thị đúng lịch sử khám bệnh thuộc tài khoản của mình.
Danh sách của Patient A và Patient B được phân tách riêng.
Không xuất hiện bản ghi của Patient A trong lịch sử của Patient B và ngược lại.</t>
  </si>
  <si>
    <t>TCMedicalHistory5_1, TCMedicalHistory5_2</t>
  </si>
  <si>
    <t>Lịch sử khám bệnh được phân tách đúng theo từng Patient, không xảy ra lẫn dữ liệu giữa các tài khoản.</t>
  </si>
  <si>
    <t>5. Kiểm tra cập nhật hồ sơ bệnh án</t>
  </si>
  <si>
    <t>TC-MEDICALHISTORY-006</t>
  </si>
  <si>
    <t>Kiểm tra thông tin Lịch sử khám bệnh của Patient được cập nhật chính xác sau khi Doctor chỉnh sửa hồ sơ bệnh án đã có.</t>
  </si>
  <si>
    <t>1: Chuẩn bị Patient có ít nhất một hồ sơ bệnh án đã hoàn thành.
2: Ghi nhận ID, chẩn đoán và hướng điều trị hiện tại của hồ sơ.
3: Đăng nhập bằng Doctor phụ trách hồ sơ.
4: Mở hồ sơ bệnh án tương ứng và chọn Cập nhật hồ sơ.
5: Thay đổi chẩn đoán và hướng điều trị, sau đó lưu.
6: Đăng nhập lại bằng Patient.
7: Mở trang Lịch sử khám bệnh.
8: Kiểm tra bản ghi vừa được Doctor cập nhật.</t>
  </si>
  <si>
    <t>Hồ sơ bệnh án được Doctor cập nhật thành công.
Chẩn đoán và hướng điều trị mới hiển thị đúng trong Lịch sử khám bệnh của Patient.
Bản ghi vẫn giữ nguyên ID ban đầu.
Hệ thống không tạo thêm bản ghi mới sau khi cập nhật hồ sơ.
Các bản ghi lịch sử khám khác không bị thay đổi.</t>
  </si>
  <si>
    <t>TCMedicalHistory6_1, TCMedicalHistory6_2, TCMedicalHistory6_3</t>
  </si>
  <si>
    <t>Hồ sơ bệnh án được cập nhật thành công, dữ liệu mới được đồng bộ đúng vào Lịch sử khám bệnh của Patient mà không tạo thêm bản ghi mới.</t>
  </si>
  <si>
    <t>SCHEDULE - Doctor Work Schedule</t>
  </si>
  <si>
    <t>Doctor Work Schedule</t>
  </si>
  <si>
    <t>1. Kiểm tra lịch làm việc theo tuần của bác sĩ</t>
  </si>
  <si>
    <t>TC-WORKSCHEDULE-001</t>
  </si>
  <si>
    <t>Kiểm tra Doctor xem được đúng thông tin cá nhân và lịch làm việc của mình trong tuần được hiển thị.</t>
  </si>
  <si>
    <t>1: Đăng nhập bằng tài khoản Doctor có lịch làm việc.
2: Mở trang Lịch làm việc của tôi.
3: Kiểm tra tên Doctor và chuyên khoa hiển thị trên trang.
4: Kiểm tra khoảng thời gian của tuần đang hiển thị.
5: Kiểm tra các ngày và ca làm việc trong bảng lịch theo tuần.
6: Kiểm tra các ô có lịch và các ô không có lịch.</t>
  </si>
  <si>
    <t>Hiển thị đúng tên Doctor đang đăng nhập.
Hiển thị đúng chuyên khoa của Doctor.
Hiển thị đúng khoảng ngày của tuần hiện tại.
Các ca có lịch được hiển thị đúng ngày và đúng ca làm việc.
Những ngày/ca không có lịch được hiển thị “Trống”.
Không hiển thị lịch làm việc của Doctor khác.</t>
  </si>
  <si>
    <t>TCWorkSchedule1</t>
  </si>
  <si>
    <t>Lịch làm việc của Doctor được hiển thị đúng theo tuần, bao gồm các ca có lịch, ca nghỉ và các ca trống.</t>
  </si>
  <si>
    <t>TC-WORKSCHEDULE-002</t>
  </si>
  <si>
    <t>Kiểm tra chức năng Tuần trước hiển thị đúng lịch làm việc của Doctor trong tuần liền trước.</t>
  </si>
  <si>
    <t>1: Đăng nhập bằng Doctor.
2: Mở trang Lịch làm việc của tôi và ghi nhận tuần đang hiển thị.
3: Nhấn Tuần trước.
4: Kiểm tra khoảng ngày sau khi chuyển tuần.
5: Kiểm tra dữ liệu lịch làm việc được hiển thị.</t>
  </si>
  <si>
    <t>Khoảng thời gian chuyển đúng về tuần liền trước.
Các ngày trong bảng được cập nhật theo tuần mới.
Chỉ hiển thị lịch làm việc thuộc tuần được chọn.
Các ca có lịch và ca trống được hiển thị đúng theo dữ liệu của tuần đó.
Không còn hiển thị nhầm dữ liệu của tuần trước khi chuyển.</t>
  </si>
  <si>
    <t>TCWorkSchedule2_1, TCWorkSchedule2_2</t>
  </si>
  <si>
    <t>Chức năng “Tuần trước” chuyển đúng khoảng thời gian và hiển thị đúng lịch làm việc tương ứng.</t>
  </si>
  <si>
    <t>TC-WORKSCHEDULE-003</t>
  </si>
  <si>
    <t>Kiểm tra chức năng Tuần sau hiển thị đúng lịch làm việc của Doctor trong tuần kế tiếp.</t>
  </si>
  <si>
    <t>1: Đăng nhập bằng Doctor.
2: Mở trang Lịch làm việc của tôi và ghi nhận tuần đang hiển thị.
3: Nhấn Tuần sau.
4: Kiểm tra khoảng ngày sau khi chuyển tuần.
5: Kiểm tra dữ liệu lịch làm việc được hiển thị.</t>
  </si>
  <si>
    <t>Khoảng thời gian chuyển đúng sang tuần kế tiếp.
Các ngày trong bảng được cập nhật đúng theo tuần mới.
Chỉ hiển thị lịch làm việc thuộc tuần được chọn.
Các ca có lịch và ca trống được hiển thị đúng theo dữ liệu của tuần đó.
Không hiển thị nhầm dữ liệu của tuần trước đó.</t>
  </si>
  <si>
    <t>TCWorkSchedule3_1, TCWorkSchedule3_2</t>
  </si>
  <si>
    <t>Chức năng “Tuần sau” chuyển đúng khoảng thời gian và hiển thị đúng lịch làm việc tương ứng.</t>
  </si>
  <si>
    <t>2. Kiểm tra tính chính xác và phân tách dữ liệu lịch làm việc</t>
  </si>
  <si>
    <t>TC-WORKSCHEDULE-004</t>
  </si>
  <si>
    <t>Kiểm tra thông tin lịch làm việc trong bảng Lịch làm việc theo tuần khớp với dữ liệu trong Danh sách lịch làm việc của Doctor.</t>
  </si>
  <si>
    <t>1: Đăng nhập bằng Doctor có lịch làm việc.
2: Mở trang Lịch làm việc của tôi.
3: Chọn một ngày có ít nhất một ca làm việc trong bảng Lịch làm việc theo tuần.
4: Ghi nhận ngày, ca làm việc và thời gian của ca đó.
5: Kiểm tra Danh sách lịch làm việc phía dưới.
6: Đối chiếu các bản ghi tương ứng.</t>
  </si>
  <si>
    <t>Mỗi ca có lịch trong bảng theo tuần có bản ghi tương ứng trong danh sách lịch làm việc.
Doctor hiển thị đúng.
Ngày làm việc khớp giữa hai khu vực.
Ca làm việc khớp.
Thời gian bắt đầu và kết thúc đúng với ca tương ứng.
Không xuất hiện bản ghi sai ngày hoặc sai ca.</t>
  </si>
  <si>
    <t>TCWorkSchedule4_1, TCWorkSchedule4_2</t>
  </si>
  <si>
    <t>Dữ liệu giữa Lịch làm việc theo tuần và Danh sách lịch làm việc hiển thị đồng nhất về ngày, ca, thời gian và trạng thái.</t>
  </si>
  <si>
    <t>TC-WORKSCHEDULE-005</t>
  </si>
  <si>
    <t>Kiểm tra mỗi Doctor chỉ xem được lịch làm việc thuộc tài khoản của mình và không bị hiển thị lịch của Doctor khác.</t>
  </si>
  <si>
    <t>1: Đăng nhập bằng Doctor A.
2: Mở Lịch làm việc của tôi và ghi nhận tên Doctor, chuyên khoa và một số lịch đang hiển thị.
3: Đăng xuất Doctor A.
4: Đăng nhập bằng Doctor B.
5: Mở Lịch làm việc của tôi.
6: So sánh thông tin và lịch làm việc của hai Doctor.</t>
  </si>
  <si>
    <t>Khi đăng nhập Doctor A, hệ thống hiển thị đúng tên, chuyên khoa và lịch làm việc của Doctor A.
Khi đăng nhập Doctor B, hệ thống hiển thị đúng thông tin và lịch làm việc của Doctor B.
Không hiển thị lịch của Doctor A trong tài khoản Doctor B và ngược lại.
Dữ liệu lịch làm việc được phân tách đúng theo từng Doctor.</t>
  </si>
  <si>
    <t>TCWorkSchedule5_1, TCWorkSchedule5_2</t>
  </si>
  <si>
    <t>Lịch làm việc được hiển thị và phân tách đúng theo từng Doctor, không xảy ra lẫn dữ liệu giữa các tài khoản.</t>
  </si>
  <si>
    <t>NOTIFICATION - Patient Notifications</t>
  </si>
  <si>
    <t>Patient Notification</t>
  </si>
  <si>
    <t>1. Kiểm tra Patient nhận thông báo sau khi lịch hẹn được Admin thao tác</t>
  </si>
  <si>
    <t>TC-NOTIFICATION-001</t>
  </si>
  <si>
    <t xml:space="preserve">Kiểm tra Patient nhận được thông báo đúng sau khi Admin xác nhận lịch hẹn mà Patient đã đặt.
</t>
  </si>
  <si>
    <t xml:space="preserve">1: Patient thực hiện đặt một lịch khám hợp lệ.
2: Đăng nhập bằng Admin.
3: Mở Quản lý lịch hẹn và xác nhận lịch vừa tạo.
4: Đăng xuất Admin và đăng nhập lại bằng Patient.
5: Mở trang Thông báo.
6: Tìm thông báo liên quan đến lịch hẹn vừa được xác nhận.
7: Kiểm tra loại, nội dung và thời gian của thông báo.
</t>
  </si>
  <si>
    <t>Patient nhận được thông báo cho đúng lịch hẹn vừa được Admin xác nhận.
Thông báo thuộc loại [Lịch hẹn].
Nội dung thông báo chứa đúng mã lịch hẹn và thể hiện lịch hẹn đã được xác nhận.
Không lấy nhầm thông báo của lịch hẹn khác.
Thời gian thông báo được hiển thị và đúng định dạng HH:mm:ss dd/MM/yyyy.</t>
  </si>
  <si>
    <t>TCNotification1_1, TCNotification1_2, TCNotification1_3</t>
  </si>
  <si>
    <t>Thông báo lịch hẹn được tạo và hiển thị đúng cho Patient sau khi Admin xác nhận lịch.</t>
  </si>
  <si>
    <t>TC-NOTIFICATION-002</t>
  </si>
  <si>
    <t>Kiểm tra Patient nhận được thông báo phù hợp khi Admin thực hiện hủy lịch hẹn của Patient.</t>
  </si>
  <si>
    <t>1: Patient đặt một lịch khám hợp lệ.
2: Đăng nhập bằng Admin.
3: Mở Quản lý lịch hẹn và hủy lịch vừa tạo.
4: Đăng xuất Admin và đăng nhập lại bằng Patient.
5: Mở trang Thông báo.
6: Tìm thông báo liên quan đến lịch hẹn vừa bị hủy.
7: Kiểm tra loại và nội dung thông báo.</t>
  </si>
  <si>
    <t>Patient nhận được thông báo cho đúng lịch hẹn vừa bị Admin hủy.
Thông báo thuộc loại [Lịch hẹn].
Nội dung thông báo chứa đúng mã lịch hẹn và thể hiện lịch hẹn đã bị hủy.
Không lấy nhầm thông báo của lịch hẹn khác.
Thời gian thông báo được hiển thị và đúng định dạng HH:mm:ss dd/MM/yyyy.</t>
  </si>
  <si>
    <t>TCNotification2_1 TCNotification2_2, TCNotification2_3</t>
  </si>
  <si>
    <t>Không phát sinh thông báo cho Patient sau khi Admin hủy lịch hẹn.</t>
  </si>
  <si>
    <t>TCNotificationRetest2_1, TCNotificationRetest2_2, TCNotificationRetest2_3</t>
  </si>
  <si>
    <t>2. Kiểm tra Patient nhận thông báo sau khi lịch hẹn được Doctor thao tác</t>
  </si>
  <si>
    <t>TC-NOTIFICATION-003</t>
  </si>
  <si>
    <t>Kiểm tra Patient nhận được thông báo sau khi Doctor thực hiện khám, nhập chẩn đoán và hướng điều trị, sau đó lưu hồ sơ bệnh án.</t>
  </si>
  <si>
    <t>1: Chuẩn bị Patient có lịch hẹn đã được Admin xác nhận.
2: Đăng nhập bằng Doctor phụ trách lịch hẹn.
3: Mở lịch hẹn của Patient và chọn Khám bệnh.
4: Nhập Chẩn đoán và Hướng điều trị hợp lệ.
5: Lưu hồ sơ bệnh án.
6: Đăng xuất Doctor và đăng nhập lại bằng Patient.
7: Mở trang Thông báo.
8: Tìm và kiểm tra thông báo mới phát sinh sau khi Doctor lưu hồ sơ bệnh án, bao gồm nội dung và thời gian thông báo.</t>
  </si>
  <si>
    <t>Patient nhận được thông báo mới sau khi Doctor cập nhật kết quả khám. Loại thông báo hiển thị là [Thông báo], nội dung thể hiện “Kết quả khám của bạn đã được bác sĩ ... cập nhật”, kèm thời gian thông báo.</t>
  </si>
  <si>
    <t>TCNotification3_1, TCNotification3_2, TCNotification3_3</t>
  </si>
  <si>
    <t>Không phát sinh thông báo cho Patient sau khi Doctor lưu kết quả khám.</t>
  </si>
  <si>
    <t>TCNotificationRetest3_1, TCNotificationRetest3_2, TCNotificationRetest3_3</t>
  </si>
  <si>
    <t>3. Kiểm tra lưu trữ và phân tách thông báo</t>
  </si>
  <si>
    <t>TC-NOTIFICATION-004</t>
  </si>
  <si>
    <t>Kiểm tra khi Patient phát sinh nhiều thông báo từ các sự kiện khác nhau, các thông báo được lưu thành các bản ghi riêng biệt và không ghi đè lẫn nhau.</t>
  </si>
  <si>
    <t>1: Đăng nhập bằng Patient.
2: Tạo một lịch hẹn mới hợp lệ.
3: Đăng xuất Patient và đăng nhập bằng Admin.
4: Mở trang Quản lý lịch hẹn và xác nhận lịch hẹn vừa tạo.
5: Đăng xuất Admin và đăng nhập lại bằng Patient.
6: Mở trang Thông báo.
7: Kiểm tra thông báo mới của lịch vừa được xác nhận.
8: Kiểm tra thông báo đã tồn tại trước đó vẫn còn hiển thị.</t>
  </si>
  <si>
    <t>Patient nhận được thông báo mới tương ứng với sự kiện vừa phát sinh.
Thông báo mới được hiển thị trong danh sách Thông báo.
Các thông báo đã tồn tại trước đó vẫn còn hiển thị, không bị mất hoặc ghi đè.
Nội dung của các thông báo không bị trộn lẫn.</t>
  </si>
  <si>
    <t>TCNotification4</t>
  </si>
  <si>
    <t>Các thông báo được lưu và hiển thị riêng biệt, thông báo mới không ghi đè các thông báo trước đó.</t>
  </si>
  <si>
    <t>TC-NOTIFICATION-005</t>
  </si>
  <si>
    <t>Kiểm tra thông báo được phân tách đúng giữa các tài khoản Patient, Patient này không xem được thông báo của Patient khác.</t>
  </si>
  <si>
    <t>1: Đăng nhập bằng tài khoản patient_an.
2: Mở trang Thông báo và ghi nhận danh sách thông báo đang hiển thị.
3: Đăng xuất patient_an, sau đó đăng nhập bằng tài khoản patient_thu.
4: Mở trang Thông báo và ghi nhận danh sách thông báo đang hiển thị.
5: So sánh nội dung thông báo của hai Patient, xác nhận danh sách thông báo được hiển thị riêng theo từng tài khoản và không giống hoàn toàn nhau.</t>
  </si>
  <si>
    <t>Patient A chỉ xem được thông báo liên quan đến lịch hẹn của Patient A và không xem được thông báo của Patient B.
Patient B chỉ xem được thông báo liên quan đến lịch hẹn của Patient B và không xem được thông báo của Patient A.
Nội dung thông báo của hai Patient được phân tách chính xác, không xảy ra hiển thị chéo dữ liệu giữa các tài khoản.</t>
  </si>
  <si>
    <t>TCNotification5_1, TCNotification5_2</t>
  </si>
  <si>
    <t>Đã đối chiếu trên 2 tài khoản Patient khác nhau. Danh sách notification hiển thị riêng biệt, không bị trộn lẫn giữa các tài khoản.</t>
  </si>
  <si>
    <t xml:space="preserve">4. Kiểm tra thông báo đơn thuốc
</t>
  </si>
  <si>
    <t>TC-NOTIFICATION-006</t>
  </si>
  <si>
    <t>Kiểm tra Patient nhận được thông báo đúng sau khi Doctor tạo và lưu đơn thuốc mới cho hồ sơ khám của Patient.</t>
  </si>
  <si>
    <t>1: Chuẩn bị Patient có lịch hẹn đã được xác nhận.
2: Doctor đăng nhập.
3: Doctor mở lịch hẹn của Patient.
4: Thực hiện khám bệnh.
5: Nhập/lưu thông tin khám cần thiết.
6: Mở chức năng kê đơn thuốc.
7: Tạo đơn thuốc hợp lệ cho Patient.
8: Đăng xuất Doctor và đăng nhập Patient.
9: Mở Thông báo và kiểm tra notification về đơn thuốc.</t>
  </si>
  <si>
    <t>Doctor tạo đơn thuốc cho Patient thành công.
Patient nhận được thông báo mới sau khi đơn thuốc được tạo.
Thông báo thuộc loại [Đơn thuốc].
Nội dung thông báo thể hiện đúng sự kiện đơn thuốc mới được tạo cho Patient.
Thời gian thông báo được ghi nhận và hiển thị.</t>
  </si>
  <si>
    <t>TCNotification6_1, TCNotification6_2, TCNotification6_3, TCNotification6_4</t>
  </si>
  <si>
    <t>Không phát sinh thông báo đơn thuốc cho Patient sau khi Doctor lưu đơn thuốc mới.</t>
  </si>
  <si>
    <t>TCNotificationRetest6_1, TCNotificationRetest6_2</t>
  </si>
  <si>
    <t>DOCTOR - Doctor Management</t>
  </si>
  <si>
    <t xml:space="preserve">5. Kiểm tra thông báo kết quả xét nghiệm
</t>
  </si>
  <si>
    <t>TC-NOTIFICATION-007</t>
  </si>
  <si>
    <t>Doctor Information</t>
  </si>
  <si>
    <t>Kiểm tra Patient nhận được thông báo đúng sau khi Doctor thêm và lưu kết quả xét nghiệm vào hồ sơ bệnh án của Patient.</t>
  </si>
  <si>
    <t>1: Chuẩn bị Patient có hồ sơ bệnh án đã được Doctor tạo.
2: Đăng nhập bằng Doctor phụ trách hồ sơ bệnh án.
3: Mở Chi tiết hồ sơ bệnh án của Patient.
4: Chuyển đến phần Xét nghiệm.
5: Thêm kết quả xét nghiệm với thông tin hợp lệ.
6: Lưu kết quả xét nghiệm.
7: Đăng xuất Doctor và đăng nhập lại bằng Patient.
8: Mở trang Thông báo.
9: Tìm thông báo mới phát sinh liên quan đến kết quả xét nghiệm vừa được lưu.</t>
  </si>
  <si>
    <t>Kết quả xét nghiệm được lưu thành công.
Patient nhận được một thông báo mới sau khi kết quả xét nghiệm được cập nhật.
Thông báo thuộc loại [Kết quả xét nghiệm].
Nội dung thông báo thể hiện đúng sự kiện kết quả xét nghiệm của Patient đã được cập nhật.
Thời gian thông báo được ghi nhận và hiển thị.</t>
  </si>
  <si>
    <t>TCNotification7_1, TCNotification7_2</t>
  </si>
  <si>
    <t>Không phát sinh thông báo kết quả xét nghiệm cho Patient sau khi Doctor thêm kết quả xét nghiệm.</t>
  </si>
  <si>
    <t>TCNotificationRetest7_1, TCNotificationRetest7_2</t>
  </si>
  <si>
    <t>6. Kiểm tra thông báo khi dữ liệu khám bệnh được thay đổi</t>
  </si>
  <si>
    <t>TC-NOTIFICATION-008</t>
  </si>
  <si>
    <t>Kiểm tra Patient nhận được thông báo mới khi Doctor kê thêm một đơn thuốc mới cho Patient đã có đơn thuốc trước đó.</t>
  </si>
  <si>
    <t>1: Chuẩn bị Patient đã có một đơn thuốc cũ.
2: Ghi nhận notification của đơn thuốc cũ.
3: Doctor đăng nhập.
4: Mở hồ sơ bệnh án → tab Đơn thuốc.
5: Kê thêm một đơn thuốc mới với thuốc/số lượng/liều dùng khác.
6: Lưu đơn thuốc mới.
7: Đăng xuất Doctor → đăng nhập Patient.
8: Mở Thông báo.
9: Tìm và kiểm tra thông báo mới phát sinh từ đơn thuốc vừa được lưu.</t>
  </si>
  <si>
    <t>Đơn thuốc mới được lưu thành công. Patient nhận được một thông báo mới thuộc loại [Đơn thuốc]. Nội dung thông báo tương ứng với đơn thuốc mới vừa được tạo. Thông báo mới không bị nhầm hoặc ghi đè bởi thông báo của đơn thuốc trước đó. Thời gian thông báo được ghi nhận và hiển thị.</t>
  </si>
  <si>
    <t>TCNotification8_1, TCNotification8_2, TCNotification8_3</t>
  </si>
  <si>
    <t>Phát sinh đúng thông báo [Đơn thuốc] mới sau khi Doctor kê thêm đơn thuốc mới; thông báo cũ và mới được hiển thị riêng biệt.</t>
  </si>
  <si>
    <t>TC-NOTIFICATION-009</t>
  </si>
  <si>
    <t>Kiểm tra Patient nhận được thông báo mới sau khi Doctor chỉnh sửa Chẩn đoán và Hướng điều trị của một hồ sơ bệnh án đã tồn tại.</t>
  </si>
  <si>
    <t>1: Chuẩn bị Patient đã có hồ sơ khám với Chẩn đoán và Hướng điều trị được lưu trước đó.
2: Đăng nhập Doctor phụ trách.
3: Mở hồ sơ khám của Patient.
4: Chỉnh sửa Chẩn đoán và/hoặc Hướng điều trị.
5: Lưu thông tin đã cập nhật.
6: Đăng xuất Doctor và đăng nhập Patient.
7: Mở trang Thông báo.
8: Tìm và kiểm tra thông báo mới phát sinh sau khi Doctor cập nhật hồ sơ khám.</t>
  </si>
  <si>
    <t>Thông tin Chẩn đoán/Hướng điều trị được cập nhật thành công.
Patient nhận được một thông báo mới sau khi Doctor cập nhật hồ sơ khám.
Nội dung thông báo thể hiện đúng sự kiện hồ sơ/kết quả khám của Patient vừa được cập nhật.
Thông báo mới không bị nhầm với thông báo đã phát sinh khi lưu kết quả khám trước đó.
Thời gian thông báo được ghi nhận và hiển thị.</t>
  </si>
  <si>
    <t xml:space="preserve">TCNotification9_1, TCNotification9_2, TCNotification9_3, </t>
  </si>
  <si>
    <t xml:space="preserve"> </t>
  </si>
  <si>
    <t>Không phát sinh thông báo mới cho Patient sau khi Doctor cập nhật Chẩn đoán và Hướng điều trị của hồ sơ bệnh án.</t>
  </si>
  <si>
    <t>Kiểm tra chức năng Bác sĩ khi Patient đã đăng nhập</t>
  </si>
  <si>
    <t>TC-DOCTOR-001</t>
  </si>
  <si>
    <t>Kiểm tra danh sách bác sĩ và thông tin bác sĩ được hiển thị đầy đủ khi mở trang</t>
  </si>
  <si>
    <t>1: Mở trang bác sĩ.
2: Quan sát tiêu đề và số lượng bác sĩ hiển thị.
3: Quan sát các card bác sĩ trong danh sách.
4: Kiểm tra thông tin trên từng card gồm hình ảnh, tên bác sĩ, chuyên khoa, kinh nghiệm và nút Đặt lịch hẹn.</t>
  </si>
  <si>
    <t>Trang Bác sĩ được mở thành công. Hiển thị tiêu đề Danh sách bác sĩ. Số lượng hiển thị khớp với số card bác sĩ thực tế. Danh sách hiện đầy đủ 4 bác sĩ. Mỗi card hiển thị đầy đủ hình ảnh, tên, chuyên khoa, kinh nghiệm và nút Đặt lịch hẹn. Không có card bị thiếu hoặc trùng dữ liệu.</t>
  </si>
  <si>
    <t>TCDoctor1</t>
  </si>
  <si>
    <t>Hiển thị đúng 4 bác sĩ và đầy đủ thông tin trên từng card.</t>
  </si>
  <si>
    <t>TC-DOCTOR-002</t>
  </si>
  <si>
    <t>Kiểm tra tìm kiếm bác sĩ với từ khóa hợp lệ</t>
  </si>
  <si>
    <t>1: Mở trang bác sĩ.
2: Nhập Tran Binh vào ô tìm kiếm.
3: Nhấn Tìm kiếm.
4: Quan sát kết quả.</t>
  </si>
  <si>
    <t>Hệ thống trả về bác sĩ Tran Binh. Không hiển thị các bác sĩ không phù hợp với từ khóa. Số lượng bác sĩ hiển thị được cập nhật tương ứng với kết quả tìm kiếm. Card kết quả vẫn hiển thị đầy đủ thông tin và nút Đặt lịch hẹn.</t>
  </si>
  <si>
    <t>TCDoctor2</t>
  </si>
  <si>
    <t>Hệ thống thực hiện tìm kiếm đúng.</t>
  </si>
  <si>
    <t>TC-DOCTOR-003</t>
  </si>
  <si>
    <t>Kiểm tra tìm kiếm bác sĩ với từ khóa không tồn tại</t>
  </si>
  <si>
    <t>1: Mở trang bác sĩ.
2: Nhập một tên bác sĩ không tồn tại, ví dụ Nguyen Van A.
3: Nhấn Tìm kiếm.
4: Quan sát kết quả.</t>
  </si>
  <si>
    <t>Hệ thống không hiển thị card bác sĩ không phù hợp. Số lượng kết quả hiển thị bằng 0 hoặc hệ thống thể hiện trạng thái không có kết quả theo thiết kế. Trang không phát sinh lỗi và các thành phần giao diện vẫn hoạt động bình thường.</t>
  </si>
  <si>
    <t>TCDoctor3</t>
  </si>
  <si>
    <t>TC-DOCTOR-004</t>
  </si>
  <si>
    <t>Kiểm tra nút Đặt lịch hẹn điều hướng đúng đến bác sĩ được chọn</t>
  </si>
  <si>
    <t>1: Mở trang bác sĩ.
2: Chọn một bác sĩ, ví dụ Tran Binh.
3: Nhấn Đặt lịch hẹn trên đúng card của bác sĩ đó.
4: Quan sát trang được điều hướng đến.
5: Kiểm tra thông tin bác sĩ trên trang đặt lịch.</t>
  </si>
  <si>
    <t>TCDoctor4_1, TCDoctor4_2</t>
  </si>
  <si>
    <t>Hệ thống thực hiện chuyển hướng đúng.</t>
  </si>
  <si>
    <t>SPECIALTY - Specialty Management</t>
  </si>
  <si>
    <t>Specialty Information</t>
  </si>
  <si>
    <t>TC-SPECIALTY-001</t>
  </si>
  <si>
    <t>Kiểm tra danh sách chuyên khoa và thông tin chuyên khoa được hiển thị đầy đủ khi mở trang</t>
  </si>
  <si>
    <t>1: Patient mở trang Chuyên khoa.
2: Quan sát tiêu đề và số lượng chuyên khoa hiển thị.
3: Quan sát các card chuyên khoa trong danh sách.
4: Kiểm tra thông tin trên từng card gồm hình ảnh, tên chuyên khoa, mô tả, nút Xem bác sĩ thuộc khoa và Xem chi tiết khoa.</t>
  </si>
  <si>
    <t>Trang Chuyên khoa được mở thành công. Hiển thị tiêu đề Danh mục chuyên khoa. Số lượng hiển thị khớp với số card chuyên khoa thực tế. Danh sách hiển thị đầy đủ 8 chuyên khoa. Mỗi card có đầy đủ hình ảnh, tên, mô tả và các nút chức năng tương ứng.</t>
  </si>
  <si>
    <t>TCSpecialty1</t>
  </si>
  <si>
    <t>Hiển thị đầy đủ danh sách và thông tin chuyên khoa theo thiết kế.</t>
  </si>
  <si>
    <t>TC-SPECIALTY-002</t>
  </si>
  <si>
    <t>Kiểm tra tìm kiếm chuyên khoa với từ khóa hợp lệ</t>
  </si>
  <si>
    <t>1: Patient mở trang Chuyên khoa.
2: Nhập tên một chuyên khoa tồn tại, ví dụ Mat.
3: Nhấn Tìm kiếm.
4: Quan sát kết quả và số lượng hiển thị.</t>
  </si>
  <si>
    <t>Hệ thống hiển thị các chuyên khoa có tên chứa từ khóa tìm kiếm. Không hiển thị chuyên khoa không phù hợp. Số lượng hiển thị được cập nhật tương ứng với số kết quả tìm được. Các card kết quả hiển thị đầy đủ thông tin và chức năng.</t>
  </si>
  <si>
    <t>TCSpecialty2</t>
  </si>
  <si>
    <t>Tìm kiếm theo từ khóa hoạt động đúng, kết quả và số lượng hiển thị phù hợp.</t>
  </si>
  <si>
    <t>TC-SPECIALTY-003</t>
  </si>
  <si>
    <t>Kiểm tra tìm kiếm chuyên khoa với từ khóa không tồn tại</t>
  </si>
  <si>
    <t>1: Patient mở trang Chuyên khoa.
2: Nhập tên một chuyên khoa không tồn tại, ví dụ Noi than kinh.
3: Nhấn Tìm kiếm.
4: Quan sát kết quả và số lượng hiển thị.</t>
  </si>
  <si>
    <t>Hệ thống không hiển thị card chuyên khoa không phù hợp. Số lượng chuyên khoa hiển thị bằng 0 và hiển thị trạng thái/thông báo không có kết quả theo giao diện thực tế. Trang không phát sinh lỗi.</t>
  </si>
  <si>
    <t>TCSpecialty3</t>
  </si>
  <si>
    <t>Hiển thị đúng trạng thái khi không có kết quả tìm kiếm.</t>
  </si>
  <si>
    <t>TC-SPECIALTY-004</t>
  </si>
  <si>
    <t>Kiểm tra nút Xem bác sĩ thuộc khoa hiển thị đúng bác sĩ của chuyên khoa được chọn</t>
  </si>
  <si>
    <t>1: Patient mở trang Chuyên khoa.
2: Chọn chuyên khoa mắt.
3: Nhấn Xem bác sĩ thuộc khoa.
4: Quan sát trang/kết quả được hiển thị.
5: Kiểm tra bác sĩ hiển thị có thuộc chuyên khoa Mắt.</t>
  </si>
  <si>
    <t>Hệ thống điều hướng hoặc hiển thị danh sách bác sĩ thuộc đúng chuyên khoa Mắt. Không hiển thị bác sĩ thuộc chuyên khoa khác và không phát sinh lỗi.</t>
  </si>
  <si>
    <t>TCSpecialty4</t>
  </si>
  <si>
    <t>Hiển thị đúng danh sách bác sĩ theo chuyên khoa được chọn.</t>
  </si>
  <si>
    <t>TC-SPECIALTY-005</t>
  </si>
  <si>
    <t>Kiểm tra nút Xem chi tiết khoa hiển thị đúng thông tin chuyên khoa được chọn</t>
  </si>
  <si>
    <t>1: Patient mở trang Chuyên khoa.
2: Chọn chuyên khoa mắt.
3: Nhấn Xem chi tiết khoa.
4: Quan sát trang/kết quả được hiển thị.
5: Kiểm tra tên chuyên khoa, thông tin giới thiệu, số lượng bác sĩ và đội ngũ bác sĩ trực thuộc hiển thị đúng với chuyên khoa Mắt.</t>
  </si>
  <si>
    <t>Hệ thống hiển thị hoặc điều hướng đến phần chi tiết của đúng chuyên khoa Mắt. Tên chuyên khoa và nội dung chi tiết tương ứng với chuyên khoa đã chọn. Không hiển thị nhầm chuyên khoa và không phát sinh lỗi.</t>
  </si>
  <si>
    <t>TCSpecialty5</t>
  </si>
  <si>
    <t>Hiển thị đúng và đầy đủ thông tin chi tiết của chuyên khoa được chọn.</t>
  </si>
  <si>
    <t>DRUG - Drug Inventory Management</t>
  </si>
  <si>
    <t>Drug Inventory Management</t>
  </si>
  <si>
    <t>1. Kiểm tra hiển thị danh mục thuốc</t>
  </si>
  <si>
    <t>TC-DRUG-CATEGORY-001</t>
  </si>
  <si>
    <t>Kiểm tra các danh mục thuốc được hiển thị đầy đủ trên trang Quản lý kho dược phẩm.</t>
  </si>
  <si>
    <t>1: Đăng nhập hệ thống bằng tài khoản Admin hợp lệ.
2: Mở menu Quản lý Kho thuốc.
3: Truy cập trang Quản lý kho dược phẩm.
4: Xác định khu vực hiển thị các nút danh mục thuốc.
5: Kiểm tra nút Tất cả được hiển thị.
6: Kiểm tra các danh mục thuốc trong hệ thống được hiển thị thành các nút lựa chọn.
7: Kiểm tra tên các danh mục hiển thị không rỗng và không bị trùng lặp.</t>
  </si>
  <si>
    <t>Trang Quản lý kho dược phẩm được mở thành công.
Nút Tất cả được hiển thị.
Các danh mục thuốc được hiển thị đầy đủ dưới dạng các nút lọc.
Tên danh mục không rỗng.
Không xuất hiện hai nút danh mục có cùng tên.</t>
  </si>
  <si>
    <t>TCDrugCategory1</t>
  </si>
  <si>
    <t>Giao diện hệ thống thể hiện đúng.</t>
  </si>
  <si>
    <t>2. Kiểm tra lọc dữ liệu</t>
  </si>
  <si>
    <t>TC-DRUG-CATEGORY-002</t>
  </si>
  <si>
    <t>Kiểm tra hệ thống chỉ hiển thị các thuốc thuộc danh mục được Admin lựa chọn.</t>
  </si>
  <si>
    <t>1: Đăng nhập hệ thống bằng tài khoản Admin hợp lệ.
2: Mở trang Quản lý kho dược phẩm.
3: Chọn danh mục Thuốc răng hàm mặt.
4: Chờ danh sách thuốc được cập nhật.
5: Lấy tất cả các dòng thuốc đang hiển thị trong bảng.
6: Đọc giá trị cột Danh mục của từng thuốc.
7: So sánh danh mục thực tế của từng thuốc với danh mục Thuốc răng hàm mặt đã chọn.</t>
  </si>
  <si>
    <t>Danh mục Thuốc răng hàm mặt được chọn thành công.
Danh sách thuốc được cập nhật.
Tất cả thuốc đang hiển thị đều có cột Danh mục = Thuốc răng hàm mặt.
Không có thuốc thuộc danh mục khác xuất hiện trong kết quả.</t>
  </si>
  <si>
    <t>TCDrugCategory2</t>
  </si>
  <si>
    <t>Hệ thống thực hiện lọc đúng.</t>
  </si>
  <si>
    <t>3. Kiểm tra chức năng cập nhật thuốc</t>
  </si>
  <si>
    <t>TC-DRUG-CATEGORY-003</t>
  </si>
  <si>
    <t>Kiểm tra Admin có thể cập nhật thông tin của một thuốc đang tồn tại trong hệ thống.</t>
  </si>
  <si>
    <t>1: Đăng nhập hệ thống bằng tài khoản Admin hợp lệ.
2: Truy cập trang Quản lý kho dược phẩm.
3: Tìm thuốc Franrogyl trong danh sách.
4: Nhấn nút Sửa của thuốc Franrogyl.
5: Kiểm tra hệ thống mở trang Cập nhật thuốc và hiển thị thông tin hiện tại của Franrogyl.
6: Thay đổi trường Giá từ 10000 thành 12000.
7: Nhấn nút Cập nhật/Lưu.
8: Chờ hệ thống xử lý và quay lại danh sách thuốc.
9: Tìm lại thuốc Franrogyl.
10: Kiểm tra giá của Franrogyl đã được cập nhật thành 12.000đ.</t>
  </si>
  <si>
    <t>Trang cập nhật hiển thị đúng thông tin hiện tại của thuốc Franrogyl.
Hệ thống cho phép thay đổi giá thuốc và lưu thành công.
Sau khi cập nhật, Franrogyl hiển thị giá mới là 12.000đ trong danh sách thuốc.</t>
  </si>
  <si>
    <t>TCDrugCategory3_1, TCDrugCategory3_2</t>
  </si>
  <si>
    <t>Hệ thống thực hiện cập nhật đúng.</t>
  </si>
  <si>
    <t>4. Kiểm tra chức năng tìm kiếm</t>
  </si>
  <si>
    <t>TC-DRUG-CATEGORY-004</t>
  </si>
  <si>
    <t>Kiểm tra hệ thống tìm kiếm và hiển thị đúng thuốc theo tên được Admin nhập.</t>
  </si>
  <si>
    <t>1: Đăng nhập bằng tài khoản Admin hợp lệ.
2: Mở trang Quản lý kho dược phẩm.
3: Chọn Tất cả.
4: Nhập Franrogyl vào ô tìm kiếm.
5: Nhấn Tìm kiếm.
6: Chờ hệ thống trả về kết quả.
7: Kiểm tra tên thuốc trong danh sách kết quả.</t>
  </si>
  <si>
    <t>Hệ thống tìm thấy thuốc Franrogyl.
Kết quả hiển thị thuốc có tên phù hợp với từ khóa tìm kiếm.
Không xuất hiện thuốc không phù hợp với từ khóa.</t>
  </si>
  <si>
    <t>TCDrugCategory4</t>
  </si>
  <si>
    <t>TC-DRUG-CATEGORY-005</t>
  </si>
  <si>
    <t>Kiểm tra hệ thống xử lý đúng khi Admin tìm một thuốc không thuộc danh mục đang được chọn.</t>
  </si>
  <si>
    <t>1: Đăng nhập bằng tài khoản Admin hợp lệ.
2: Mở trang Quản lý kho dược phẩm.
3: Chọn danh mục Thuốc tiêu hóa.
4: Chờ danh sách được cập nhật.
5: Nhập Franrogyl vào ô tìm kiếm.
6: Nhấn Tìm kiếm.
7: Chờ hệ thống trả về kết quả.
8: Kiểm tra danh sách thuốc sau khi tìm kiếm.</t>
  </si>
  <si>
    <t>Hệ thống không hiển thị Franrogyl nếu thuốc không thuộc danh mục Thuốc tiêu hóa.
Không xuất hiện thuốc sai điều kiện danh mục.
Trang không phát sinh lỗi hoặc bị treo khi không có kết quả phù hợp.</t>
  </si>
  <si>
    <t>TCDrugCategory5</t>
  </si>
  <si>
    <t>TC-DRUG-CATEGORY-006</t>
  </si>
  <si>
    <t>Kiểm tra hệ thống xử lý đúng khi Admin tìm một thuốc thuộc danh mục đang được chọn.</t>
  </si>
  <si>
    <t>1: Đăng nhập bằng tài khoản Admin hợp lệ.
2: Mở trang Quản lý kho dược phẩm.
3: Chọn danh mục Thuốc răng hàm mặt.
4: Chờ danh sách được cập nhật.
5: Nhập Franrogyl vào ô tìm kiếm.
6: Nhấn Tìm kiếm.
7: Chờ hệ thống trả về kết quả.
8: Kiểm tra danh sách thuốc sau khi tìm kiếm.</t>
  </si>
  <si>
    <t>Hệ thống hiển thị Franrogyl nếu thuốc thuộc danh mục Thuốc răng hàm mặt.
Không xuất hiện thuốc sai điều kiện danh mục.
Trang không phát sinh lỗi trong quá trình lọc và tìm kiếm.</t>
  </si>
  <si>
    <t>TCDrugCategory6</t>
  </si>
  <si>
    <t>5. Kiểm tra thêm thuốc</t>
  </si>
  <si>
    <t>TC-DRUG-CATEGORY-007</t>
  </si>
  <si>
    <t>Kiểm tra Admin có thể thêm mới thuốc khi nhập đầy đủ các thông tin hợp lệ.</t>
  </si>
  <si>
    <t>1: Đăng nhập hệ thống bằng tài khoản Admin hợp lệ.
2: Mở trang Quản lý kho dược phẩm.
3: Nhấn nút Thêm thuốc.
4: Chọn danh mục và nhập đầy đủ thông tin của thuốc.
5: Nhập Giá, Số lượng tồn và Số lượng tối thiểu hợp lệ.
6: Chọn Ngày sản xuất và Hạn sử dụng hợp lệ.
7: Nhấn nút Thêm thuốc.
8: Kiểm tra thông báo thêm thuốc thành công.
9: Tìm thuốc vừa thêm trong danh sách và kiểm tra thông tin hiển thị.</t>
  </si>
  <si>
    <t>Hệ thống chấp nhận dữ liệu hợp lệ và thêm thuốc thành công.
Hiển thị thông báo thêm thuốc thành công.
Thuốc mới xuất hiện trong danh sách với thông tin đúng như đã nhập.</t>
  </si>
  <si>
    <t>TCDrugCategory7_1, TCDrugCategory7_2</t>
  </si>
  <si>
    <t>Hệ thống thực hiện thêm thuốc thành công với dữ liệu hợp lệ.</t>
  </si>
  <si>
    <t>TC-DRUG-CATEGORY-008</t>
  </si>
  <si>
    <t>Kiểm tra hệ thống không cho phép Admin thêm thuốc khi bỏ trống trường thông tin bắt buộc.</t>
  </si>
  <si>
    <t>1: Đăng nhập hệ thống bằng tài khoản Admin hợp lệ.
2: Mở trang Quản lý kho dược phẩm.
3: Nhấn nút Thêm thuốc.
4: Để trống một trường bắt buộc, ví dụ Tên thuốc.
5: Nhập đầy đủ và hợp lệ các trường bắt buộc còn lại.
6: Nhấn nút Thêm thuốc.
7: Kiểm tra hệ thống xác định và đưa focus về trường Tên thuốc bị bỏ trống.
8: Kiểm tra thuốc không được tạo mới trong danh sách.</t>
  </si>
  <si>
    <t>Hệ thống không cho phép thêm thuốc khi thiếu thông tin bắt buộc.
Hệ thống xác định trường Tên thuốc chưa được nhập và đưa focus về trường này.
Thuốc không được tạo mới trong hệ thống.</t>
  </si>
  <si>
    <t>TCDrugCategory8_1, TCDrugCategory8_2</t>
  </si>
  <si>
    <t>Hệ thống thực hiện đúng nghiệp vụ, không thêm thuốc khi chưa nhập đủ các trường bắt buộc.</t>
  </si>
  <si>
    <t>TC-DRUG-CATEGORY-009</t>
  </si>
  <si>
    <t>Kiểm tra hệ thống không cho phép Admin thêm thuốc khi các trường dữ liệu số gồm Giá, Số lượng tồn kho hoặc Số lượng tối thiểu có giá trị âm.</t>
  </si>
  <si>
    <t>1: Đăng nhập hệ thống bằng tài khoản Admin hợp lệ.
2: Mở trang Quản lý kho dược phẩm và chọn + Thêm thuốc.
3: Nhập đầy đủ các thông tin hợp lệ cho thuốc.
4: Nhập giá trị âm -12000 vào trường Giá và nhấn Thêm thuốc.
5: Kiểm tra hệ thống không cho phép gửi form và hiển thị cảnh báo tại trường Giá.
6: Sửa Giá về giá trị hợp lệ, sau đó nhập -107 vào Số lượng tồn kho và nhấn Thêm thuốc.
7: Kiểm tra hệ thống tiếp tục chặn và cảnh báo tại trường Số lượng tồn kho.
8: Sửa Số lượng tồn kho về giá trị hợp lệ, nhập -20 vào Số lượng tối thiểu và nhấn Thêm thuốc.
9: Kiểm tra hệ thống chặn thao tác và cảnh báo tại trường Số lượng tối thiểu.
10: Kiểm tra thuốc không được thêm mới khi tồn tại bất kỳ giá trị âm nào.</t>
  </si>
  <si>
    <t>Hệ thống không cho phép thêm thuốc khi Giá, Số lượng tồn kho hoặc Số lượng tối thiểu có giá trị nhỏ hơn 0.</t>
  </si>
  <si>
    <t>TCDrugCategory9_1, TCDrugCategory9_2, TCDrugCategory9_3</t>
  </si>
  <si>
    <t>Hệ thống thực hiện đúng nghiệp vụ, không thêm thuốc khi các trường số liệu nhập giá trị âm.</t>
  </si>
  <si>
    <t>TC-DRUG-CATEGORY-010</t>
  </si>
  <si>
    <t>Kiểm tra hệ thống không cho phép Admin thêm thuốc khi hạn sử dụng trước ngày sản xuất.</t>
  </si>
  <si>
    <t>1: Đăng nhập hệ thống bằng tài khoản Admin hợp lệ.
2: Mở trang Quản lý kho dược phẩm.
3: Nhấn nút Thêm thuốc.
4: Nhập đầy đủ các thông tin hợp lệ của thuốc.
5: Chọn Ngày sản xuất là 20/08/2025.
6: Chọn Hạn sử dụng là 19/08/2025.
7: Nhấn nút Thêm thuốc.
8: Kiểm tra thông báo validation về ngày.
9: Kiểm tra thuốc không được tạo mới trong danh sách.</t>
  </si>
  <si>
    <t>Hệ thống xác định hạn sử dụng trước ngày sản xuất là không hợp lệ.
Hệ thống không cho phép thêm thuốc và hiển thị thông báo validation phù hợp.
Thuốc không được tạo mới trong hệ thống.</t>
  </si>
  <si>
    <t>TCDrugCategory10_1, TCDrugCategory10_2</t>
  </si>
  <si>
    <t>Hệ thống vẫn cho phép thêm thuốc khi Hạn sử dụng nhỏ hơn Ngày sản xuất. Chưa có validation kiểm tra mối quan hệ giữa Ngày sản xuất và Hạn sử dụng.</t>
  </si>
  <si>
    <t>6. Kiểm tra chức năng xóa thuốc</t>
  </si>
  <si>
    <t>TC-DRUG-CATEGORY-011</t>
  </si>
  <si>
    <t>Kiểm tra Admin có thể xóa một thuốc đang tồn tại khỏi danh sách Quản lý kho dược phẩm.</t>
  </si>
  <si>
    <t>1: Đăng nhập hệ thống bằng tài khoản Admin hợp lệ.
2: Mở trang Quản lý kho dược phẩm.
3: Xác định thuốc cần xóa trong danh sách.
4: Ghi nhận tên thuốc trước khi thực hiện xóa.
5: Nhấn nút Xóa tại dòng của thuốc đó.
6: Nếu hệ thống hiển thị hộp thoại xác nhận, chọn Xác nhận/OK.
7: Chờ hệ thống xử lý và cập nhật lại danh sách thuốc.
8: Kiểm tra thuốc vừa xóa không còn xuất hiện trong danh sách.</t>
  </si>
  <si>
    <t>Hệ thống thực hiện xóa đúng thuốc được Admin lựa chọn.
Sau khi xóa thành công, thuốc không còn xuất hiện trong danh sách Quản lý kho dược phẩm.
Các thuốc khác trong danh sách không bị ảnh hưởng.
Hệ thống không phát sinh lỗi trong quá trình xóa.</t>
  </si>
  <si>
    <t>TCDrugCategory11_1, TCDrugCategory11_2</t>
  </si>
  <si>
    <t>Hiển thị xác nhận xóa; sau khi chọn OK, thuốc được xóa thành công và không còn xuất hiện trong danh sách.</t>
  </si>
  <si>
    <t>STAT - Statistics and Reporting</t>
  </si>
  <si>
    <t>Statistics and Reporting</t>
  </si>
  <si>
    <t>1. Kiểm tra thống kê thuốc</t>
  </si>
  <si>
    <t>TC-STAT-001</t>
  </si>
  <si>
    <t>Kiểm tra hệ thống hiển thị đúng thống kê số lượng thuốc theo từng danh mục dưới dạng biểu đồ và bảng dữ liệu.</t>
  </si>
  <si>
    <t>1: Đăng nhập hệ thống bằng tài khoản Admin hợp lệ.
2: Mở menu Quản lý Kho thuốc.
3: Truy cập trang Thống kê thuốc.
4: Kiểm tra biểu đồ Thuốc theo danh mục được hiển thị.
5: Kiểm tra bảng thống kê danh mục thuốc được hiển thị bên dưới biểu đồ.
6: Ghi nhận số lượng của một số danh mục trong bảng.
7: Đối chiếu số lượng trong bảng với giá trị tương ứng trên biểu đồ.
8: Kiểm tra các danh mục hiển thị trong bảng có dữ liệu số lượng tương ứng và không xuất hiện lỗi hiển thị.</t>
  </si>
  <si>
    <t>Trang Thống kê thuốc được mở thành công.
Biểu đồ và bảng thống kê số lượng thuốc theo danh mục được hiển thị đầy đủ.
Số liệu giữa biểu đồ và bảng tương ứng với nhau.
Không phát sinh lỗi trong quá trình hiển thị dữ liệu.</t>
  </si>
  <si>
    <t>TCStat1</t>
  </si>
  <si>
    <t>Biểu đồ và bảng thống kê thuốc hiển thị đầy đủ, số liệu tương ứng.</t>
  </si>
  <si>
    <t>2. Kiểm tra thống kê và báo cáo</t>
  </si>
  <si>
    <t>TC-STAT-002</t>
  </si>
  <si>
    <t>Kiểm tra hệ thống hiển thị đúng thống kê bệnh nhân theo giới tính, nhóm tuổi và chuyên khoa; số liệu trên biểu đồ tương ứng với bảng chi tiết.</t>
  </si>
  <si>
    <t>1: Đăng nhập hệ thống bằng tài khoản Admin hợp lệ.
2: Mở trang Thống kê và báo cáo.
3: Xác định khu vực Bệnh nhân theo giới tính.
4: Kiểm tra biểu đồ và bảng số lượng bệnh nhân theo giới tính.
5: Đối chiếu số liệu giữa biểu đồ và bảng.
6: Kiểm tra tương tự khu vực Bệnh nhân theo nhóm tuổi.
7: Đối chiếu số liệu nhóm tuổi giữa biểu đồ và bảng.
8: Di chuyển đến khu vực Bệnh nhân theo chuyên khoa.
9: Kiểm tra biểu đồ, bảng và đối chiếu số liệu tương ứng.
10: Kiểm tra các khu vực thống kê hiển thị bình thường, không phát sinh lỗi.</t>
  </si>
  <si>
    <t>Các thống kê bệnh nhân theo giới tính, nhóm tuổi và chuyên khoa được hiển thị thành công.
Biểu đồ và bảng dữ liệu của từng nhóm thống kê có số liệu tương ứng.
Các nhóm dữ liệu được hiển thị đúng tên và số lượng.
Trang không phát sinh lỗi hoặc mất dữ liệu trong quá trình hiển thị.</t>
  </si>
  <si>
    <t>TCStat2_1, TCStat2_2</t>
  </si>
  <si>
    <t>Các thống kê theo giới tính, nhóm tuổi và chuyên khoa hiển thị đúng; số liệu biểu đồ khớp bảng.</t>
  </si>
  <si>
    <t>TC-STAT-003</t>
  </si>
  <si>
    <t>Kiểm tra hệ thống hiển thị đúng doanh thu đã thanh toán theo các tháng của năm được Admin lựa chọn.</t>
  </si>
  <si>
    <t>1: Đăng nhập hệ thống bằng tài khoản Admin hợp lệ.
2: Mở trang Thống kê và báo cáo.
3: Di chuyển đến khu vực Doanh thu theo tháng.
4: Nhập năm 2026 vào trường lựa chọn năm.
5: Nhấn nút Xem doanh thu.
6: Chờ hệ thống tải dữ liệu doanh thu.
7: Kiểm tra biểu đồ doanh thu theo tháng được hiển thị.
8: Kiểm tra bảng doanh thu bên dưới biểu đồ.
9: Đối chiếu tháng và mức doanh thu thể hiện trên biểu đồ với dữ liệu trong bảng.
10: Kiểm tra giá trị doanh thu được hiển thị đúng định dạng tiền tệ.</t>
  </si>
  <si>
    <t>Hệ thống chấp nhận năm hợp lệ và tải dữ liệu doanh thu tương ứng.
Biểu đồ và bảng doanh thu theo tháng được hiển thị.
Tháng và mức doanh thu trên biểu đồ phù hợp với dữ liệu trong bảng.
Doanh thu được hiển thị đúng định dạng tiền tệ.
Không phát sinh lỗi khi xem doanh thu.</t>
  </si>
  <si>
    <t>TCStat3</t>
  </si>
  <si>
    <t>Doanh thu năm 2026 hiển thị đúng; Tháng 4 có doanh thu 900.000 VNĐ.</t>
  </si>
  <si>
    <t>TC-STAT-004</t>
  </si>
  <si>
    <t>Kiểm tra hệ thống hiển thị danh sách các chẩn đoán và số lượng bệnh nhân tương ứng tại khu vực Bệnh phổ biến trong cộng đồng.</t>
  </si>
  <si>
    <t>1: Đăng nhập hệ thống bằng tài khoản Admin hợp lệ.
2: Mở trang Thống kê và báo cáo.
3: Di chuyển đến khu vực Bệnh phổ biến trong cộng đồng.
4: Kiểm tra bảng thống kê được hiển thị.
5: Kiểm tra cột Chẩn đoán được hiển thị.
6: Kiểm tra cột Số lượng bệnh nhân được hiển thị.
7: Kiểm tra các dòng dữ liệu có tên chẩn đoán và số lượng tương ứng.
8: Cuộn trong bảng nếu danh sách có nhiều dữ liệu.
9: Kiểm tra hệ thống vẫn hiển thị dữ liệu ổn định khi cuộn danh sách.</t>
  </si>
  <si>
    <t>Bảng Bệnh phổ biến trong cộng đồng được hiển thị thành công.
Các cột Chẩn đoán và Số lượng bệnh nhân được hiển thị đầy đủ.
Mỗi dòng có dữ liệu chẩn đoán và số lượng bệnh nhân tương ứng.
Danh sách có thể cuộn và không phát sinh lỗi hiển thị.</t>
  </si>
  <si>
    <t>TCStat4</t>
  </si>
  <si>
    <t>Bảng bệnh phổ biến hiển thị đúng chẩn đoán và số lượng bệnh nhân, có thể cuộn danh sách.</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</si>
</sst>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d\-mmm\-yy"/>
    <numFmt numFmtId="165" formatCode="d-m"/>
  </numFmts>
  <fonts count="28">
    <font>
      <sz val="11.0"/>
      <color rgb="FF000000"/>
      <name val="MS PGothic"/>
      <scheme val="minor"/>
    </font>
    <font>
      <sz val="11.0"/>
      <color theme="1"/>
      <name val="Tahoma"/>
    </font>
    <font>
      <b/>
      <sz val="18.0"/>
      <color theme="1"/>
      <name val="Tahoma"/>
    </font>
    <font>
      <b/>
      <sz val="10.0"/>
      <color theme="1"/>
      <name val="Tahoma"/>
    </font>
    <font>
      <sz val="10.0"/>
      <color theme="1"/>
      <name val="Tahoma"/>
    </font>
    <font>
      <b/>
      <sz val="11.0"/>
      <color theme="1"/>
      <name val="Tahoma"/>
    </font>
    <font>
      <b/>
      <sz val="13.0"/>
      <color theme="1"/>
      <name val="Tahoma"/>
    </font>
    <font>
      <sz val="11.0"/>
      <color theme="1"/>
      <name val="Arial"/>
    </font>
    <font>
      <b/>
      <sz val="10.0"/>
      <color rgb="FF993300"/>
      <name val="Tahoma"/>
    </font>
    <font/>
    <font>
      <b/>
      <sz val="10.0"/>
      <color rgb="FFFFFFFF"/>
      <name val="Tahoma"/>
    </font>
    <font>
      <b/>
      <sz val="13.0"/>
      <color rgb="FFFFFFFF"/>
      <name val="Tahoma"/>
    </font>
    <font>
      <sz val="13.0"/>
      <color theme="1"/>
      <name val="Tahoma"/>
    </font>
    <font>
      <b/>
      <sz val="11.0"/>
      <color rgb="FFFFFFFF"/>
      <name val="Tahoma"/>
    </font>
    <font>
      <sz val="11.0"/>
      <color theme="1"/>
      <name val="MS PGothic"/>
    </font>
    <font>
      <sz val="12.0"/>
      <color theme="1"/>
      <name val="Tahoma"/>
    </font>
    <font>
      <sz val="11.0"/>
      <color rgb="FF000000"/>
      <name val="Tahoma"/>
    </font>
    <font>
      <u/>
      <sz val="11.0"/>
      <color rgb="FF000000"/>
      <name val="Tahoma"/>
    </font>
    <font>
      <sz val="11.0"/>
      <color rgb="FFFF0000"/>
      <name val="Tahoma"/>
    </font>
    <font>
      <sz val="10.0"/>
      <color theme="1"/>
      <name val="MS PGothic"/>
    </font>
    <font>
      <sz val="10.0"/>
      <color rgb="FFFFFFFF"/>
      <name val="Tahoma"/>
    </font>
    <font>
      <b/>
      <sz val="10.0"/>
      <color rgb="FF0000FF"/>
      <name val="Tahoma"/>
    </font>
    <font>
      <sz val="10.0"/>
      <color rgb="FF000000"/>
      <name val="Tahoma"/>
    </font>
    <font>
      <b/>
      <sz val="13.0"/>
      <color rgb="FFF3F3F3"/>
      <name val="Tahoma"/>
    </font>
    <font>
      <u/>
      <sz val="11.0"/>
      <color theme="1"/>
      <name val="Arial"/>
    </font>
    <font>
      <u/>
      <sz val="11.0"/>
      <color theme="1"/>
      <name val="Tahoma"/>
    </font>
    <font>
      <u/>
      <sz val="11.0"/>
      <color rgb="FF000000"/>
      <name val="Tahoma"/>
    </font>
    <font>
      <color theme="1"/>
      <name val="Arial"/>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EFEFEF"/>
        <bgColor rgb="FFEFEFEF"/>
      </patternFill>
    </fill>
  </fills>
  <borders count="37">
    <border/>
    <border>
      <left/>
      <right/>
      <top/>
      <bottom/>
    </border>
    <border>
      <left style="medium">
        <color rgb="FF000000"/>
      </left>
    </border>
    <border>
      <left/>
      <right/>
      <top/>
    </border>
    <border>
      <left style="thin">
        <color rgb="FF000000"/>
      </left>
      <right style="hair">
        <color rgb="FF000000"/>
      </right>
      <top style="hair">
        <color rgb="FF000000"/>
      </top>
      <bottom style="hair">
        <color rgb="FF000000"/>
      </bottom>
    </border>
    <border>
      <bottom style="thin">
        <color rgb="FF000000"/>
      </bottom>
    </border>
    <border>
      <right/>
      <top/>
      <bottom/>
    </border>
    <border>
      <left style="thin">
        <color rgb="FF000000"/>
      </left>
      <right style="hair">
        <color rgb="FF000000"/>
      </right>
      <top style="thin">
        <color rgb="FF000000"/>
      </top>
      <bottom style="hair">
        <color rgb="FF000000"/>
      </bottom>
    </border>
    <border>
      <left style="thin">
        <color rgb="FF000000"/>
      </left>
      <right style="thin">
        <color rgb="FF000000"/>
      </right>
      <top style="thin">
        <color rgb="FF000000"/>
      </top>
      <bottom style="thin">
        <color rgb="FF000000"/>
      </bottom>
    </border>
    <border>
      <left style="hair">
        <color rgb="FF000000"/>
      </left>
      <right style="hair">
        <color rgb="FF000000"/>
      </right>
      <top style="thin">
        <color rgb="FF000000"/>
      </top>
      <bottom style="hair">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hair">
        <color rgb="FF000000"/>
      </left>
      <right style="thin">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top style="medium">
        <color rgb="FF000000"/>
      </top>
      <bottom style="thin">
        <color rgb="FF000000"/>
      </bottom>
    </border>
    <border>
      <top style="medium">
        <color rgb="FF000000"/>
      </top>
      <bottom style="thin">
        <color rgb="FF000000"/>
      </bottom>
    </border>
    <border>
      <left style="hair">
        <color rgb="FF000000"/>
      </left>
      <right style="hair">
        <color rgb="FF000000"/>
      </right>
      <top style="hair">
        <color rgb="FF000000"/>
      </top>
      <bottom style="hair">
        <color rgb="FF000000"/>
      </bottom>
    </border>
    <border>
      <right style="medium">
        <color rgb="FF000000"/>
      </right>
      <top style="medium">
        <color rgb="FF000000"/>
      </top>
      <bottom style="thin">
        <color rgb="FF000000"/>
      </bottom>
    </border>
    <border>
      <left style="hair">
        <color rgb="FF000000"/>
      </left>
      <top style="hair">
        <color rgb="FF000000"/>
      </top>
      <bottom style="hair">
        <color rgb="FF000000"/>
      </bottom>
    </border>
    <border>
      <left style="thin">
        <color rgb="FF000000"/>
      </left>
      <right style="thin">
        <color rgb="FF000000"/>
      </right>
    </border>
    <border>
      <left style="hair">
        <color rgb="FF000000"/>
      </left>
      <right style="thin">
        <color rgb="FF000000"/>
      </right>
      <top style="hair">
        <color rgb="FF000000"/>
      </top>
      <bottom style="hair">
        <color rgb="FF000000"/>
      </bottom>
    </border>
    <border>
      <left style="thin">
        <color rgb="FF000000"/>
      </lef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left style="hair">
        <color rgb="FF000000"/>
      </left>
      <right style="hair">
        <color rgb="FF000000"/>
      </right>
      <top style="hair">
        <color rgb="FF000000"/>
      </top>
    </border>
    <border>
      <left style="thin">
        <color rgb="FF000000"/>
      </left>
      <right style="hair">
        <color rgb="FF000000"/>
      </right>
      <top style="hair">
        <color rgb="FF000000"/>
      </top>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rder>
    <border>
      <left style="hair">
        <color rgb="FF000000"/>
      </left>
      <right style="thin">
        <color rgb="FF000000"/>
      </right>
      <top style="hair">
        <color rgb="FF000000"/>
      </top>
      <bottom style="thin">
        <color rgb="FF000000"/>
      </bottom>
    </border>
    <border>
      <left style="hair">
        <color rgb="FF000000"/>
      </left>
      <top style="thin">
        <color rgb="FF000000"/>
      </top>
      <bottom style="hair">
        <color rgb="FF000000"/>
      </bottom>
    </border>
    <border>
      <right style="hair">
        <color rgb="FF000000"/>
      </right>
      <top style="thin">
        <color rgb="FF000000"/>
      </top>
      <bottom style="hair">
        <color rgb="FF000000"/>
      </bottom>
    </border>
    <border>
      <left style="thin">
        <color rgb="FF000000"/>
      </left>
      <right style="hair">
        <color rgb="FF000000"/>
      </right>
      <top style="thin">
        <color rgb="FF000000"/>
      </top>
      <bottom style="thin">
        <color rgb="FF000000"/>
      </bottom>
    </border>
    <border>
      <left style="hair">
        <color rgb="FF000000"/>
      </left>
      <right style="hair">
        <color rgb="FF000000"/>
      </right>
      <top style="thin">
        <color rgb="FF000000"/>
      </top>
      <bottom style="thin">
        <color rgb="FF000000"/>
      </bottom>
    </border>
    <border>
      <left style="hair">
        <color rgb="FF000000"/>
      </left>
      <right style="thin">
        <color rgb="FF000000"/>
      </right>
      <top style="thin">
        <color rgb="FF000000"/>
      </top>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readingOrder="0"/>
    </xf>
    <xf borderId="0" fillId="0" fontId="2" numFmtId="0" xfId="0" applyFont="1"/>
    <xf borderId="0" fillId="0" fontId="3" numFmtId="0" xfId="0" applyFont="1"/>
    <xf borderId="0" fillId="0" fontId="4" numFmtId="0" xfId="0" applyFont="1"/>
    <xf borderId="1" fillId="2" fontId="1" numFmtId="0" xfId="0" applyBorder="1" applyFill="1" applyFont="1"/>
    <xf borderId="0" fillId="0" fontId="4" numFmtId="164" xfId="0" applyFont="1" applyNumberFormat="1"/>
    <xf borderId="0" fillId="2" fontId="5" numFmtId="0" xfId="0" applyAlignment="1" applyFill="1" applyFont="1">
      <alignment vertical="bottom"/>
    </xf>
    <xf borderId="2" fillId="2" fontId="6" numFmtId="0" xfId="0" applyAlignment="1" applyBorder="1" applyFill="1" applyFont="1">
      <alignment horizontal="left" readingOrder="0" shrinkToFit="0" vertical="center" wrapText="1"/>
    </xf>
    <xf borderId="1" fillId="2" fontId="2" numFmtId="0" xfId="0" applyBorder="1" applyFill="1" applyFont="1"/>
    <xf borderId="0" fillId="2" fontId="7" numFmtId="0" xfId="0" applyAlignment="1" applyFill="1" applyFont="1">
      <alignment vertical="bottom"/>
    </xf>
    <xf borderId="0" fillId="0" fontId="4" numFmtId="0" xfId="0" applyAlignment="1" applyFont="1">
      <alignment readingOrder="0"/>
    </xf>
    <xf borderId="3" fillId="2" fontId="1" numFmtId="0" xfId="0" applyBorder="1" applyFill="1" applyFont="1"/>
    <xf borderId="0" fillId="0" fontId="7" numFmtId="0" xfId="0" applyAlignment="1" applyFont="1">
      <alignment vertical="bottom"/>
    </xf>
    <xf borderId="4" fillId="0" fontId="4" numFmtId="164" xfId="0" applyAlignment="1" applyBorder="1" applyFont="1" applyNumberFormat="1">
      <alignment horizontal="left" readingOrder="0"/>
    </xf>
    <xf borderId="1" fillId="2" fontId="8" numFmtId="0" xfId="0" applyBorder="1" applyFill="1" applyFont="1"/>
    <xf borderId="5" fillId="0" fontId="9" numFmtId="0" xfId="0" applyBorder="1" applyFont="1"/>
    <xf borderId="1" fillId="2" fontId="4" numFmtId="0" xfId="0" applyAlignment="1" applyBorder="1" applyFill="1" applyFont="1">
      <alignment horizontal="left" readingOrder="0"/>
    </xf>
    <xf borderId="6" fillId="2" fontId="1" numFmtId="0" xfId="0" applyBorder="1" applyFill="1" applyFont="1"/>
    <xf borderId="7" fillId="3" fontId="10" numFmtId="0" xfId="0" applyAlignment="1" applyBorder="1" applyFill="1" applyFont="1">
      <alignment horizontal="center"/>
    </xf>
    <xf borderId="1" fillId="2" fontId="4" numFmtId="0" xfId="0" applyBorder="1" applyFill="1" applyFont="1"/>
    <xf borderId="8" fillId="2" fontId="5" numFmtId="0" xfId="0" applyAlignment="1" applyBorder="1" applyFill="1" applyFont="1">
      <alignment vertical="bottom"/>
    </xf>
    <xf borderId="9" fillId="3" fontId="10" numFmtId="0" xfId="0" applyAlignment="1" applyBorder="1" applyFill="1" applyFont="1">
      <alignment horizontal="center"/>
    </xf>
    <xf borderId="0" fillId="0" fontId="8" numFmtId="0" xfId="0" applyAlignment="1" applyFont="1">
      <alignment readingOrder="0"/>
    </xf>
    <xf borderId="9" fillId="3" fontId="10" numFmtId="0" xfId="0" applyAlignment="1" applyBorder="1" applyFill="1" applyFont="1">
      <alignment horizontal="center" shrinkToFit="0" wrapText="1"/>
    </xf>
    <xf borderId="10" fillId="2" fontId="1" numFmtId="0" xfId="0" applyAlignment="1" applyBorder="1" applyFill="1" applyFont="1">
      <alignment readingOrder="0" vertical="bottom"/>
    </xf>
    <xf borderId="11" fillId="0" fontId="9" numFmtId="0" xfId="0" applyBorder="1" applyFont="1"/>
    <xf borderId="12" fillId="0" fontId="9" numFmtId="0" xfId="0" applyBorder="1" applyFont="1"/>
    <xf borderId="0" fillId="0" fontId="4" numFmtId="15" xfId="0" applyAlignment="1" applyFont="1" applyNumberFormat="1">
      <alignment horizontal="left" readingOrder="0"/>
    </xf>
    <xf borderId="13" fillId="3" fontId="10" numFmtId="0" xfId="0" applyAlignment="1" applyBorder="1" applyFill="1" applyFont="1">
      <alignment horizontal="center" shrinkToFit="0" wrapText="1"/>
    </xf>
    <xf borderId="0" fillId="0" fontId="4" numFmtId="15" xfId="0" applyAlignment="1" applyFont="1" applyNumberFormat="1">
      <alignment horizontal="left"/>
    </xf>
    <xf borderId="0" fillId="0" fontId="4" numFmtId="0" xfId="0" applyAlignment="1" applyFont="1">
      <alignment shrinkToFit="0" wrapText="1"/>
    </xf>
    <xf borderId="10" fillId="2" fontId="1" numFmtId="0" xfId="0" applyAlignment="1" applyBorder="1" applyFill="1" applyFont="1">
      <alignment readingOrder="0" vertical="top"/>
    </xf>
    <xf borderId="7" fillId="3" fontId="11" numFmtId="0" xfId="0" applyAlignment="1" applyBorder="1" applyFill="1" applyFont="1">
      <alignment horizontal="center" readingOrder="0" vertical="center"/>
    </xf>
    <xf borderId="9" fillId="3" fontId="11" numFmtId="0" xfId="0" applyAlignment="1" applyBorder="1" applyFill="1" applyFont="1">
      <alignment horizontal="center" readingOrder="0" vertical="center"/>
    </xf>
    <xf borderId="4" fillId="0" fontId="4" numFmtId="0" xfId="0" applyAlignment="1" applyBorder="1" applyFont="1">
      <alignment horizontal="center" shrinkToFit="0" vertical="center" wrapText="1"/>
    </xf>
    <xf borderId="9" fillId="3" fontId="11" numFmtId="0" xfId="0" applyAlignment="1" applyBorder="1" applyFill="1" applyFont="1">
      <alignment horizontal="center" readingOrder="0" shrinkToFit="0" vertical="center" wrapText="1"/>
    </xf>
    <xf borderId="14" fillId="3" fontId="11" numFmtId="0" xfId="0" applyAlignment="1" applyBorder="1" applyFill="1" applyFont="1">
      <alignment horizontal="center" readingOrder="0" vertical="center"/>
    </xf>
    <xf borderId="8" fillId="2" fontId="1" numFmtId="0" xfId="0" applyAlignment="1" applyBorder="1" applyFill="1" applyFont="1">
      <alignment horizontal="right" vertical="bottom"/>
    </xf>
    <xf borderId="15" fillId="2" fontId="4" numFmtId="0" xfId="0" applyAlignment="1" applyBorder="1" applyFill="1" applyFont="1">
      <alignment horizontal="left" readingOrder="0" shrinkToFit="0" wrapText="1"/>
    </xf>
    <xf borderId="0" fillId="3" fontId="11" numFmtId="0" xfId="0" applyAlignment="1" applyFill="1" applyFont="1">
      <alignment horizontal="center" readingOrder="0" vertical="center"/>
    </xf>
    <xf borderId="8" fillId="2" fontId="1" numFmtId="0" xfId="0" applyAlignment="1" applyBorder="1" applyFill="1" applyFont="1">
      <alignment horizontal="right" readingOrder="0" vertical="bottom"/>
    </xf>
    <xf borderId="0" fillId="0" fontId="1" numFmtId="0" xfId="0" applyAlignment="1" applyFont="1">
      <alignment vertical="center"/>
    </xf>
    <xf borderId="16" fillId="0" fontId="9" numFmtId="0" xfId="0" applyBorder="1" applyFont="1"/>
    <xf borderId="17" fillId="0" fontId="4" numFmtId="0" xfId="0" applyAlignment="1" applyBorder="1" applyFont="1">
      <alignment horizontal="center" readingOrder="0" shrinkToFit="0" vertical="center" wrapText="1"/>
    </xf>
    <xf borderId="18" fillId="0" fontId="9" numFmtId="0" xfId="0" applyBorder="1" applyFont="1"/>
    <xf borderId="8" fillId="2" fontId="1" numFmtId="0" xfId="0" applyAlignment="1" applyBorder="1" applyFill="1" applyFont="1">
      <alignment horizontal="center" vertical="bottom"/>
    </xf>
    <xf borderId="8" fillId="0" fontId="12" numFmtId="0" xfId="0" applyAlignment="1" applyBorder="1" applyFont="1">
      <alignment horizontal="center" readingOrder="0" vertical="center"/>
    </xf>
    <xf borderId="8" fillId="2" fontId="1" numFmtId="0" xfId="0" applyAlignment="1" applyBorder="1" applyFill="1" applyFont="1">
      <alignment horizontal="center" readingOrder="0" vertical="bottom"/>
    </xf>
    <xf borderId="17" fillId="0" fontId="12" numFmtId="49" xfId="0" applyAlignment="1" applyBorder="1" applyFont="1" applyNumberFormat="1">
      <alignment horizontal="center" readingOrder="0" vertical="center"/>
    </xf>
    <xf borderId="19" fillId="0" fontId="4" numFmtId="1" xfId="0" applyAlignment="1" applyBorder="1" applyFont="1" applyNumberFormat="1">
      <alignment horizontal="center" shrinkToFit="0" vertical="center" wrapText="1"/>
    </xf>
    <xf borderId="8" fillId="0" fontId="1" numFmtId="0" xfId="0" applyAlignment="1" applyBorder="1" applyFont="1">
      <alignment horizontal="center" vertical="bottom"/>
    </xf>
    <xf borderId="17" fillId="0" fontId="4" numFmtId="0" xfId="0" applyAlignment="1" applyBorder="1" applyFont="1">
      <alignment horizontal="center" shrinkToFit="0" vertical="center" wrapText="1"/>
    </xf>
    <xf borderId="11" fillId="2" fontId="7" numFmtId="0" xfId="0" applyAlignment="1" applyBorder="1" applyFill="1" applyFont="1">
      <alignment vertical="bottom"/>
    </xf>
    <xf borderId="17" fillId="0" fontId="12" numFmtId="0" xfId="0" applyAlignment="1" applyBorder="1" applyFont="1">
      <alignment horizontal="center" readingOrder="0" vertical="center"/>
    </xf>
    <xf borderId="11" fillId="0" fontId="7" numFmtId="0" xfId="0" applyAlignment="1" applyBorder="1" applyFont="1">
      <alignment vertical="bottom"/>
    </xf>
    <xf borderId="5" fillId="2" fontId="7" numFmtId="0" xfId="0" applyAlignment="1" applyBorder="1" applyFill="1" applyFont="1">
      <alignment vertical="bottom"/>
    </xf>
    <xf borderId="17" fillId="0" fontId="12" numFmtId="1" xfId="0" applyAlignment="1" applyBorder="1" applyFont="1" applyNumberFormat="1">
      <alignment horizontal="center" vertical="center"/>
    </xf>
    <xf borderId="20" fillId="4" fontId="13" numFmtId="0" xfId="0" applyAlignment="1" applyBorder="1" applyFill="1" applyFont="1">
      <alignment horizontal="center" vertical="bottom"/>
    </xf>
    <xf borderId="20" fillId="4" fontId="13" numFmtId="0" xfId="0" applyAlignment="1" applyBorder="1" applyFill="1" applyFont="1">
      <alignment vertical="bottom"/>
    </xf>
    <xf borderId="21" fillId="0" fontId="4" numFmtId="1" xfId="0" applyAlignment="1" applyBorder="1" applyFont="1" applyNumberFormat="1">
      <alignment horizontal="center" shrinkToFit="0" vertical="center" wrapText="1"/>
    </xf>
    <xf borderId="0" fillId="0" fontId="14" numFmtId="0" xfId="0" applyAlignment="1" applyFont="1">
      <alignment shrinkToFit="0" wrapText="1"/>
    </xf>
    <xf borderId="19" fillId="0" fontId="12" numFmtId="1" xfId="0" applyAlignment="1" applyBorder="1" applyFont="1" applyNumberFormat="1">
      <alignment horizontal="center" shrinkToFit="0" vertical="center" wrapText="1"/>
    </xf>
    <xf borderId="22" fillId="4" fontId="13" numFmtId="0" xfId="0" applyAlignment="1" applyBorder="1" applyFill="1" applyFont="1">
      <alignment horizontal="center" vertical="bottom"/>
    </xf>
    <xf borderId="7" fillId="3" fontId="10" numFmtId="0" xfId="0" applyAlignment="1" applyBorder="1" applyFill="1" applyFont="1">
      <alignment horizontal="center" readingOrder="0" vertical="center"/>
    </xf>
    <xf borderId="9" fillId="3" fontId="10" numFmtId="0" xfId="0" applyAlignment="1" applyBorder="1" applyFill="1" applyFont="1">
      <alignment horizontal="center" readingOrder="0" vertical="center"/>
    </xf>
    <xf borderId="23" fillId="4" fontId="13" numFmtId="0" xfId="0" applyAlignment="1" applyBorder="1" applyFill="1" applyFont="1">
      <alignment horizontal="center" vertical="bottom"/>
    </xf>
    <xf borderId="21" fillId="0" fontId="12" numFmtId="1" xfId="0" applyAlignment="1" applyBorder="1" applyFont="1" applyNumberFormat="1">
      <alignment horizontal="center" shrinkToFit="0" vertical="center" wrapText="1"/>
    </xf>
    <xf borderId="23" fillId="4" fontId="13" numFmtId="0" xfId="0" applyAlignment="1" applyBorder="1" applyFill="1" applyFont="1">
      <alignment horizontal="center" readingOrder="0" vertical="bottom"/>
    </xf>
    <xf borderId="4" fillId="0" fontId="4" numFmtId="164" xfId="0" applyAlignment="1" applyBorder="1" applyFont="1" applyNumberFormat="1">
      <alignment horizontal="center" readingOrder="0" vertical="center"/>
    </xf>
    <xf borderId="17" fillId="0" fontId="4" numFmtId="49" xfId="0" applyAlignment="1" applyBorder="1" applyFont="1" applyNumberFormat="1">
      <alignment horizontal="center" vertical="center"/>
    </xf>
    <xf borderId="24" fillId="0" fontId="9" numFmtId="0" xfId="0" applyBorder="1" applyFont="1"/>
    <xf borderId="17" fillId="0" fontId="4" numFmtId="0" xfId="0" applyAlignment="1" applyBorder="1" applyFont="1">
      <alignment horizontal="center" readingOrder="0" vertical="center"/>
    </xf>
    <xf borderId="17" fillId="0" fontId="12" numFmtId="0" xfId="0" applyAlignment="1" applyBorder="1" applyFont="1">
      <alignment horizontal="center" vertical="center"/>
    </xf>
    <xf borderId="25" fillId="0" fontId="9" numFmtId="0" xfId="0" applyBorder="1" applyFont="1"/>
    <xf borderId="17" fillId="0" fontId="15" numFmtId="0" xfId="0" applyAlignment="1" applyBorder="1" applyFont="1">
      <alignment horizontal="left" readingOrder="0" shrinkToFit="0" vertical="center" wrapText="1"/>
    </xf>
    <xf borderId="12" fillId="5" fontId="7" numFmtId="0" xfId="0" applyAlignment="1" applyBorder="1" applyFill="1" applyFont="1">
      <alignment vertical="bottom"/>
    </xf>
    <xf borderId="17" fillId="0" fontId="12" numFmtId="1" xfId="0" applyAlignment="1" applyBorder="1" applyFont="1" applyNumberFormat="1">
      <alignment horizontal="center" shrinkToFit="0" vertical="center" wrapText="1"/>
    </xf>
    <xf borderId="10" fillId="6" fontId="5" numFmtId="0" xfId="0" applyAlignment="1" applyBorder="1" applyFill="1" applyFont="1">
      <alignment readingOrder="0" vertical="bottom"/>
    </xf>
    <xf borderId="8" fillId="0" fontId="1" numFmtId="0" xfId="0" applyAlignment="1" applyBorder="1" applyFont="1">
      <alignment readingOrder="0" vertical="top"/>
    </xf>
    <xf borderId="8" fillId="0" fontId="16" numFmtId="0" xfId="0" applyAlignment="1" applyBorder="1" applyFont="1">
      <alignment readingOrder="0" shrinkToFit="0" vertical="top" wrapText="1"/>
    </xf>
    <xf borderId="8" fillId="0" fontId="16" numFmtId="0" xfId="0" applyAlignment="1" applyBorder="1" applyFont="1">
      <alignment horizontal="left" readingOrder="0" shrinkToFit="0" vertical="top" wrapText="1"/>
    </xf>
    <xf borderId="10" fillId="0" fontId="16" numFmtId="0" xfId="0" applyAlignment="1" applyBorder="1" applyFont="1">
      <alignment horizontal="left" readingOrder="0" shrinkToFit="0" vertical="top" wrapText="1"/>
    </xf>
    <xf borderId="0" fillId="0" fontId="4" numFmtId="0" xfId="0" applyAlignment="1" applyFont="1">
      <alignment vertical="center"/>
    </xf>
    <xf borderId="8" fillId="0" fontId="17" numFmtId="0" xfId="0" applyAlignment="1" applyBorder="1" applyFont="1">
      <alignment horizontal="left" readingOrder="0" shrinkToFit="0" vertical="top" wrapText="1"/>
    </xf>
    <xf borderId="10" fillId="0" fontId="18" numFmtId="165" xfId="0" applyAlignment="1" applyBorder="1" applyFont="1" applyNumberFormat="1">
      <alignment readingOrder="0" vertical="top"/>
    </xf>
    <xf borderId="8" fillId="0" fontId="7" numFmtId="0" xfId="0" applyAlignment="1" applyBorder="1" applyFont="1">
      <alignment vertical="bottom"/>
    </xf>
    <xf borderId="8" fillId="0" fontId="7" numFmtId="0" xfId="0" applyAlignment="1" applyBorder="1" applyFont="1">
      <alignment vertical="top"/>
    </xf>
    <xf borderId="21" fillId="0" fontId="12" numFmtId="1" xfId="0" applyAlignment="1" applyBorder="1" applyFont="1" applyNumberFormat="1">
      <alignment horizontal="center" vertical="center"/>
    </xf>
    <xf borderId="26" fillId="0" fontId="4" numFmtId="0" xfId="0" applyAlignment="1" applyBorder="1" applyFont="1">
      <alignment horizontal="center" readingOrder="0" vertical="center"/>
    </xf>
    <xf borderId="27" fillId="0" fontId="4" numFmtId="164" xfId="0" applyAlignment="1" applyBorder="1" applyFont="1" applyNumberFormat="1">
      <alignment horizontal="center" readingOrder="0" vertical="center"/>
    </xf>
    <xf borderId="28" fillId="0" fontId="4" numFmtId="164" xfId="0" applyAlignment="1" applyBorder="1" applyFont="1" applyNumberFormat="1">
      <alignment horizontal="center" readingOrder="0" vertical="center"/>
    </xf>
    <xf borderId="29" fillId="0" fontId="4" numFmtId="49" xfId="0" applyAlignment="1" applyBorder="1" applyFont="1" applyNumberFormat="1">
      <alignment horizontal="center" readingOrder="0" vertical="center"/>
    </xf>
    <xf borderId="29" fillId="0" fontId="4" numFmtId="0" xfId="0" applyAlignment="1" applyBorder="1" applyFont="1">
      <alignment horizontal="center" readingOrder="0" vertical="center"/>
    </xf>
    <xf borderId="0" fillId="0" fontId="1" numFmtId="0" xfId="0" applyAlignment="1" applyFont="1">
      <alignment horizontal="center" vertical="center"/>
    </xf>
    <xf borderId="17" fillId="0" fontId="4" numFmtId="0" xfId="0" applyAlignment="1" applyBorder="1" applyFont="1">
      <alignment horizontal="center" vertical="center"/>
    </xf>
    <xf borderId="17" fillId="0" fontId="19" numFmtId="0" xfId="0" applyAlignment="1" applyBorder="1" applyFont="1">
      <alignment horizontal="center"/>
    </xf>
    <xf borderId="17" fillId="0" fontId="4" numFmtId="0" xfId="0" applyAlignment="1" applyBorder="1" applyFont="1">
      <alignment horizontal="center"/>
    </xf>
    <xf borderId="21" fillId="0" fontId="4" numFmtId="0" xfId="0" applyAlignment="1" applyBorder="1" applyFont="1">
      <alignment horizontal="center"/>
    </xf>
    <xf borderId="26" fillId="0" fontId="4" numFmtId="0" xfId="0" applyAlignment="1" applyBorder="1" applyFont="1">
      <alignment horizontal="center" vertical="center"/>
    </xf>
    <xf borderId="26" fillId="0" fontId="19" numFmtId="0" xfId="0" applyAlignment="1" applyBorder="1" applyFont="1">
      <alignment horizontal="center"/>
    </xf>
    <xf borderId="26" fillId="0" fontId="4" numFmtId="0" xfId="0" applyAlignment="1" applyBorder="1" applyFont="1">
      <alignment horizontal="center"/>
    </xf>
    <xf borderId="30" fillId="0" fontId="4" numFmtId="0" xfId="0" applyAlignment="1" applyBorder="1" applyFont="1">
      <alignment horizontal="center"/>
    </xf>
    <xf borderId="28" fillId="3" fontId="20" numFmtId="0" xfId="0" applyAlignment="1" applyBorder="1" applyFill="1" applyFont="1">
      <alignment horizontal="center"/>
    </xf>
    <xf borderId="29" fillId="3" fontId="10" numFmtId="0" xfId="0" applyBorder="1" applyFill="1" applyFont="1"/>
    <xf borderId="29" fillId="3" fontId="20" numFmtId="1" xfId="0" applyAlignment="1" applyBorder="1" applyFill="1" applyFont="1" applyNumberFormat="1">
      <alignment horizontal="center"/>
    </xf>
    <xf borderId="29" fillId="3" fontId="20" numFmtId="0" xfId="0" applyAlignment="1" applyBorder="1" applyFill="1" applyFont="1">
      <alignment horizontal="center"/>
    </xf>
    <xf borderId="29" fillId="3" fontId="20" numFmtId="0" xfId="0" applyAlignment="1" applyBorder="1" applyFill="1" applyFont="1">
      <alignment horizontal="center" readingOrder="0"/>
    </xf>
    <xf borderId="31" fillId="3" fontId="20" numFmtId="1" xfId="0" applyAlignment="1" applyBorder="1" applyFill="1" applyFont="1" applyNumberFormat="1">
      <alignment horizontal="center"/>
    </xf>
    <xf borderId="0" fillId="0" fontId="4" numFmtId="0" xfId="0" applyAlignment="1" applyFont="1">
      <alignment horizontal="center"/>
    </xf>
    <xf borderId="0" fillId="0" fontId="4" numFmtId="10" xfId="0" applyAlignment="1" applyFont="1" applyNumberFormat="1">
      <alignment horizontal="center"/>
    </xf>
    <xf borderId="0" fillId="0" fontId="4" numFmtId="9" xfId="0" applyAlignment="1" applyFont="1" applyNumberFormat="1">
      <alignment horizontal="center"/>
    </xf>
    <xf borderId="0" fillId="0" fontId="21" numFmtId="2" xfId="0" applyAlignment="1" applyFont="1" applyNumberFormat="1">
      <alignment horizontal="right" shrinkToFit="0" wrapText="1"/>
    </xf>
    <xf borderId="0" fillId="0" fontId="22" numFmtId="0" xfId="0" applyAlignment="1" applyFont="1">
      <alignment horizontal="center" shrinkToFit="0" wrapText="1"/>
    </xf>
    <xf borderId="26" fillId="0" fontId="12" numFmtId="0" xfId="0" applyAlignment="1" applyBorder="1" applyFont="1">
      <alignment horizontal="center" vertical="center"/>
    </xf>
    <xf borderId="26" fillId="0" fontId="12" numFmtId="1" xfId="0" applyAlignment="1" applyBorder="1" applyFont="1" applyNumberFormat="1">
      <alignment horizontal="center" vertical="center"/>
    </xf>
    <xf borderId="30" fillId="0" fontId="12" numFmtId="1" xfId="0" applyAlignment="1" applyBorder="1" applyFont="1" applyNumberFormat="1">
      <alignment horizontal="center" vertical="center"/>
    </xf>
    <xf borderId="32" fillId="3" fontId="11" numFmtId="0" xfId="0" applyAlignment="1" applyBorder="1" applyFill="1" applyFont="1">
      <alignment horizontal="center" readingOrder="0" vertical="center"/>
    </xf>
    <xf borderId="33" fillId="0" fontId="9" numFmtId="0" xfId="0" applyBorder="1" applyFont="1"/>
    <xf borderId="34" fillId="3" fontId="23" numFmtId="0" xfId="0" applyAlignment="1" applyBorder="1" applyFill="1" applyFont="1">
      <alignment horizontal="center" vertical="center"/>
    </xf>
    <xf borderId="35" fillId="3" fontId="23" numFmtId="1" xfId="0" applyAlignment="1" applyBorder="1" applyFill="1" applyFont="1" applyNumberFormat="1">
      <alignment horizontal="center" vertical="center"/>
    </xf>
    <xf borderId="36" fillId="3" fontId="23" numFmtId="1" xfId="0" applyAlignment="1" applyBorder="1" applyFill="1" applyFont="1" applyNumberFormat="1">
      <alignment horizontal="center" vertical="center"/>
    </xf>
    <xf borderId="0" fillId="0" fontId="1" numFmtId="0" xfId="0" applyAlignment="1" applyFont="1">
      <alignment horizontal="center" readingOrder="0" vertical="center"/>
    </xf>
    <xf borderId="0" fillId="0" fontId="4" numFmtId="49" xfId="0" applyAlignment="1" applyFont="1" applyNumberFormat="1">
      <alignment vertical="center"/>
    </xf>
    <xf borderId="8" fillId="0" fontId="24" numFmtId="0" xfId="0" applyAlignment="1" applyBorder="1" applyFont="1">
      <alignment readingOrder="0" vertical="top"/>
    </xf>
    <xf borderId="8" fillId="0" fontId="7" numFmtId="0" xfId="0" applyAlignment="1" applyBorder="1" applyFont="1">
      <alignment readingOrder="0" vertical="top"/>
    </xf>
    <xf borderId="0" fillId="0" fontId="16" numFmtId="0" xfId="0" applyAlignment="1" applyFont="1">
      <alignment horizontal="left" readingOrder="0" shrinkToFit="0" vertical="top" wrapText="1"/>
    </xf>
    <xf borderId="0" fillId="0" fontId="7" numFmtId="0" xfId="0" applyAlignment="1" applyFont="1">
      <alignment vertical="top"/>
    </xf>
    <xf borderId="8" fillId="0" fontId="25" numFmtId="0" xfId="0" applyAlignment="1" applyBorder="1" applyFont="1">
      <alignment horizontal="left" readingOrder="0" shrinkToFit="0" vertical="top" wrapText="1"/>
    </xf>
    <xf borderId="0" fillId="0" fontId="1" numFmtId="0" xfId="0" applyAlignment="1" applyFont="1">
      <alignment readingOrder="0" vertical="top"/>
    </xf>
    <xf borderId="0" fillId="0" fontId="16" numFmtId="0" xfId="0" applyAlignment="1" applyFont="1">
      <alignment readingOrder="0" shrinkToFit="0" vertical="top" wrapText="1"/>
    </xf>
    <xf borderId="0" fillId="0" fontId="18" numFmtId="165" xfId="0" applyAlignment="1" applyFont="1" applyNumberFormat="1">
      <alignment readingOrder="0" vertical="top"/>
    </xf>
    <xf borderId="0" fillId="0" fontId="7" numFmtId="0" xfId="0" applyAlignment="1" applyFont="1">
      <alignment readingOrder="0" vertical="top"/>
    </xf>
    <xf borderId="0" fillId="7" fontId="5" numFmtId="0" xfId="0" applyAlignment="1" applyFill="1" applyFont="1">
      <alignment readingOrder="0" vertical="bottom"/>
    </xf>
    <xf borderId="0" fillId="2" fontId="5" numFmtId="0" xfId="0" applyAlignment="1" applyFill="1" applyFont="1">
      <alignment readingOrder="0" vertical="bottom"/>
    </xf>
    <xf borderId="8" fillId="0" fontId="26" numFmtId="0" xfId="0" applyAlignment="1" applyBorder="1" applyFont="1">
      <alignment horizontal="left" readingOrder="0" shrinkToFit="0" vertical="top" wrapText="1"/>
    </xf>
    <xf borderId="0" fillId="0" fontId="27" numFmtId="0" xfId="0" applyAlignment="1" applyFont="1">
      <alignment vertical="bottom"/>
    </xf>
    <xf borderId="10" fillId="0" fontId="7" numFmtId="0" xfId="0" applyAlignment="1" applyBorder="1" applyFont="1">
      <alignment vertical="bottom"/>
    </xf>
    <xf borderId="10" fillId="0" fontId="18" numFmtId="0" xfId="0" applyAlignment="1" applyBorder="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1457uFFnuaN8qYz22xJ_8tZkmW7vrosm/view?usp=sharing" TargetMode="External"/><Relationship Id="rId2" Type="http://schemas.openxmlformats.org/officeDocument/2006/relationships/hyperlink" Target="https://drive.google.com/file/d/1Pf6FdlkbWuNHIuXwYsyV3xqYwB60TEn2/view?usp=sharing" TargetMode="External"/><Relationship Id="rId3" Type="http://schemas.openxmlformats.org/officeDocument/2006/relationships/hyperlink" Target="https://drive.google.com/file/d/1mcRVY6nsT1VAChhIh0OhXD80GgVYBc4p/view?usp=sharing" TargetMode="External"/><Relationship Id="rId4" Type="http://schemas.openxmlformats.org/officeDocument/2006/relationships/hyperlink" Target="https://drive.google.com/file/d/1-fa-HOpkZxzj7tRjgqGYH160zYgCTWdi/view?usp=sharing" TargetMode="External"/><Relationship Id="rId11" Type="http://schemas.openxmlformats.org/officeDocument/2006/relationships/hyperlink" Target="https://drive.google.com/file/d/1O5hIvYFIxITlW18GheN9H9yEm0wKqPXW/view?usp=sharing" TargetMode="External"/><Relationship Id="rId10" Type="http://schemas.openxmlformats.org/officeDocument/2006/relationships/hyperlink" Target="https://drive.google.com/file/d/1zMnP_sjTQXsxmtO99yC-0B8camGD2eEM/view?usp=sharing" TargetMode="External"/><Relationship Id="rId12" Type="http://schemas.openxmlformats.org/officeDocument/2006/relationships/drawing" Target="../drawings/drawing4.xml"/><Relationship Id="rId9" Type="http://schemas.openxmlformats.org/officeDocument/2006/relationships/hyperlink" Target="https://drive.google.com/file/d/11yM9S2ACRuw0U1xcj4Vj8n55g-n40J4x/view?usp=sharing" TargetMode="External"/><Relationship Id="rId5" Type="http://schemas.openxmlformats.org/officeDocument/2006/relationships/hyperlink" Target="https://drive.google.com/file/d/1GwlkqsiXOgZFxi5PPi6Jd3cwleMzxvh5/view?usp=sharing" TargetMode="External"/><Relationship Id="rId6" Type="http://schemas.openxmlformats.org/officeDocument/2006/relationships/hyperlink" Target="https://drive.google.com/file/d/1FzjKMtWSPam7uO3jwhTze7mpsxueY_o4/view?usp=sharing" TargetMode="External"/><Relationship Id="rId7" Type="http://schemas.openxmlformats.org/officeDocument/2006/relationships/hyperlink" Target="https://drive.google.com/file/d/1Iv1ER5RwIihxx18hVxtkpNhNZzOklHSD/view?usp=sharing" TargetMode="External"/><Relationship Id="rId8" Type="http://schemas.openxmlformats.org/officeDocument/2006/relationships/hyperlink" Target="https://drive.google.com/file/d/1O-QxqWVVeVEYl53js6edclUbYEIi8Gu0/view?usp=sharing"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Kf81Ayh-BhbyNGepM6Z8UkSjcnLSK55N/view?usp=sharing" TargetMode="External"/><Relationship Id="rId22" Type="http://schemas.openxmlformats.org/officeDocument/2006/relationships/hyperlink" Target="https://drive.google.com/file/d/16QSbbulWgmy9XLJu5yCxTqibX2saSkgc/view?usp=sharing" TargetMode="External"/><Relationship Id="rId21" Type="http://schemas.openxmlformats.org/officeDocument/2006/relationships/hyperlink" Target="https://drive.google.com/file/d/1uxPErgSIwl2PyW925a9JK77XVcapoye3/view?usp=sharing" TargetMode="External"/><Relationship Id="rId24" Type="http://schemas.openxmlformats.org/officeDocument/2006/relationships/hyperlink" Target="https://drive.google.com/file/d/1vQ3kGhE8k-NELfmMzH4UyJARzeEFZKV4/view?usp=sharing" TargetMode="External"/><Relationship Id="rId23" Type="http://schemas.openxmlformats.org/officeDocument/2006/relationships/hyperlink" Target="https://drive.google.com/file/d/1gimvOIx7X-Rhw57Qj3NS6B6ea7BNCh3q/view?usp=sharing" TargetMode="External"/><Relationship Id="rId1" Type="http://schemas.openxmlformats.org/officeDocument/2006/relationships/hyperlink" Target="https://drive.google.com/file/d/1pCwkHe1eq8-YYXDC4dbXhEfLzUVrytVs/view?usp=sharing" TargetMode="External"/><Relationship Id="rId2" Type="http://schemas.openxmlformats.org/officeDocument/2006/relationships/hyperlink" Target="https://drive.google.com/file/d/1L72exKZkuJnaNWwbgH_9fG1pP-QMaLAG/view?usp=sharing" TargetMode="External"/><Relationship Id="rId3" Type="http://schemas.openxmlformats.org/officeDocument/2006/relationships/hyperlink" Target="https://drive.google.com/file/d/19ZiBXsX0vpBdx6nVkDq4qHXpn4uC4u--/view?usp=sharing" TargetMode="External"/><Relationship Id="rId4" Type="http://schemas.openxmlformats.org/officeDocument/2006/relationships/hyperlink" Target="https://drive.google.com/file/d/13Es7CNI0XPneSpccEh9gfou0gollJwbr/view?usp=sharing" TargetMode="External"/><Relationship Id="rId9" Type="http://schemas.openxmlformats.org/officeDocument/2006/relationships/hyperlink" Target="https://drive.google.com/file/d/19Etd-l6ymrEAmcevXie5v1LAUlBbfYmD/view?usp=sharing" TargetMode="External"/><Relationship Id="rId26" Type="http://schemas.openxmlformats.org/officeDocument/2006/relationships/hyperlink" Target="https://drive.google.com/file/d/1Azy6wzQI1_QEsVqItftQVy8C7lnz_N32/view?usp=sharing" TargetMode="External"/><Relationship Id="rId25" Type="http://schemas.openxmlformats.org/officeDocument/2006/relationships/hyperlink" Target="https://drive.google.com/file/d/1m5Ra8QvRi-DWdzbyyJX_o4sTQ-DOFKTx/view?usp=sharing" TargetMode="External"/><Relationship Id="rId28" Type="http://schemas.openxmlformats.org/officeDocument/2006/relationships/drawing" Target="../drawings/drawing5.xml"/><Relationship Id="rId27" Type="http://schemas.openxmlformats.org/officeDocument/2006/relationships/hyperlink" Target="https://drive.google.com/file/d/1KPasyioO63Fi2ECZgpcn88I1_W17k41T/view?usp=sharing" TargetMode="External"/><Relationship Id="rId5" Type="http://schemas.openxmlformats.org/officeDocument/2006/relationships/hyperlink" Target="https://drive.google.com/file/d/1RbIJ3MJrctSG6OfqS4EdxbBgbG3jKC4s/view?usp=sharing" TargetMode="External"/><Relationship Id="rId6" Type="http://schemas.openxmlformats.org/officeDocument/2006/relationships/hyperlink" Target="https://drive.google.com/file/d/1151gMXi-N2kz_7e6Ov_zjYA14Jm4-8rj/view?usp=sharing" TargetMode="External"/><Relationship Id="rId7" Type="http://schemas.openxmlformats.org/officeDocument/2006/relationships/hyperlink" Target="https://drive.google.com/file/d/1ldmx0d2pun6Fq2p3FBKyL0Mlcq6imF5j/view?usp=sharing" TargetMode="External"/><Relationship Id="rId8" Type="http://schemas.openxmlformats.org/officeDocument/2006/relationships/hyperlink" Target="https://drive.google.com/file/d/1q3fPvUA-d1wcoT2GkjiavE79xO8rUPjB/view?usp=sharing" TargetMode="External"/><Relationship Id="rId11" Type="http://schemas.openxmlformats.org/officeDocument/2006/relationships/hyperlink" Target="https://drive.google.com/file/d/1sIxsBfCfI8xlrQe9fibF6OwfbRfDoPZc/view?usp=sharing" TargetMode="External"/><Relationship Id="rId10" Type="http://schemas.openxmlformats.org/officeDocument/2006/relationships/hyperlink" Target="https://drive.google.com/file/d/1JCBQuoBJ_ofi-LBhMhz91-TAx5crfx2c/view?usp=sharing" TargetMode="External"/><Relationship Id="rId13" Type="http://schemas.openxmlformats.org/officeDocument/2006/relationships/hyperlink" Target="https://drive.google.com/file/d/1dEweyLBk1LvlsWLuXhweXEVNuscVzF3G/view?usp=sharing" TargetMode="External"/><Relationship Id="rId12" Type="http://schemas.openxmlformats.org/officeDocument/2006/relationships/hyperlink" Target="https://drive.google.com/file/d/1C5cAs53ikVksddPFc0-H5SDLdIPAfHP-/view?usp=sharing" TargetMode="External"/><Relationship Id="rId15" Type="http://schemas.openxmlformats.org/officeDocument/2006/relationships/hyperlink" Target="https://drive.google.com/file/d/1DkRxAReJDMAY-oFknXs7gcbNLVVw0Fic/view?usp=sharing" TargetMode="External"/><Relationship Id="rId14" Type="http://schemas.openxmlformats.org/officeDocument/2006/relationships/hyperlink" Target="https://drive.google.com/file/d/1BxRkG71QM9f96yec3V8gfcz9AYIMtIya/view?usp=sharing" TargetMode="External"/><Relationship Id="rId17" Type="http://schemas.openxmlformats.org/officeDocument/2006/relationships/hyperlink" Target="https://drive.google.com/file/d/1DOgbmpGvTWjpojy40uqBMQpmayZcJg7n/view?usp=sharing" TargetMode="External"/><Relationship Id="rId16" Type="http://schemas.openxmlformats.org/officeDocument/2006/relationships/hyperlink" Target="https://drive.google.com/file/d/15Lb1hPZPR8P0cVDvcZTRlgYg62rSoYFv/view?usp=sharing" TargetMode="External"/><Relationship Id="rId19" Type="http://schemas.openxmlformats.org/officeDocument/2006/relationships/hyperlink" Target="https://drive.google.com/file/d/1-quoaLT_3brvFXVZTWjiHHyBeWMgZiis/view?usp=sharing" TargetMode="External"/><Relationship Id="rId18" Type="http://schemas.openxmlformats.org/officeDocument/2006/relationships/hyperlink" Target="https://drive.google.com/file/d/1usVNCOQ_TwGjwlJB9AMNDqaCoiJMK-us/view?usp=sharin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H2u9TMQxRaV8SMWA1md44TrPIEE2iOjX/view?usp=sharing" TargetMode="External"/><Relationship Id="rId2" Type="http://schemas.openxmlformats.org/officeDocument/2006/relationships/hyperlink" Target="https://drive.google.com/file/d/10kZ7aV531gE3PQjs1KUO6LTOQJn_i6Xt/view?usp=sharing" TargetMode="External"/><Relationship Id="rId3" Type="http://schemas.openxmlformats.org/officeDocument/2006/relationships/hyperlink" Target="https://drive.google.com/file/d/1bigBCjWF-UCvSlCrlZXtDxMF_BxN-S-y/view?usp=sharing" TargetMode="External"/><Relationship Id="rId4" Type="http://schemas.openxmlformats.org/officeDocument/2006/relationships/hyperlink" Target="https://drive.google.com/file/d/1bawJNyxBMY20H39T0dQOS0EBNDImlApV/view?usp=sharing" TargetMode="External"/><Relationship Id="rId9" Type="http://schemas.openxmlformats.org/officeDocument/2006/relationships/hyperlink" Target="https://drive.google.com/file/d/1KssTjeftf-tPYVvSSl3lmTy13Ti9qslv/view?usp=sharing" TargetMode="External"/><Relationship Id="rId5" Type="http://schemas.openxmlformats.org/officeDocument/2006/relationships/hyperlink" Target="https://drive.google.com/file/d/1J4aZ9-5Upl9x2RrC0aMfMl3fSeUCbakX/view?usp=sharing" TargetMode="External"/><Relationship Id="rId6" Type="http://schemas.openxmlformats.org/officeDocument/2006/relationships/hyperlink" Target="https://drive.google.com/file/d/1X_34mNc0qz1CzaW9R8j0wbrgZcxGrUk9/view?usp=sharing" TargetMode="External"/><Relationship Id="rId7" Type="http://schemas.openxmlformats.org/officeDocument/2006/relationships/hyperlink" Target="https://drive.google.com/file/d/1Ujku9khtthiaq0rWOG2ex_bMX_c9z3Ly/view?usp=sharing" TargetMode="External"/><Relationship Id="rId8" Type="http://schemas.openxmlformats.org/officeDocument/2006/relationships/hyperlink" Target="https://drive.google.com/file/d/1J0hKP8zrWo-Fl8w1dQaZBb-3c5QvLRW7/view?usp=sharing" TargetMode="External"/><Relationship Id="rId11" Type="http://schemas.openxmlformats.org/officeDocument/2006/relationships/drawing" Target="../drawings/drawing6.xml"/><Relationship Id="rId10" Type="http://schemas.openxmlformats.org/officeDocument/2006/relationships/hyperlink" Target="https://drive.google.com/file/d/14hmvrJroBlhIY1K_uIh-UsjI8Uuhhw9j/view?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rive.google.com/file/d/1UCOVicNVv6WBNCIv7yPaRVFK40IkBDmt/view?usp=sharing" TargetMode="External"/><Relationship Id="rId2" Type="http://schemas.openxmlformats.org/officeDocument/2006/relationships/hyperlink" Target="https://drive.google.com/file/d/1hDIulYFXkUQ1E5x-DxuYBw2227ylww9B/view?usp=sharing" TargetMode="External"/><Relationship Id="rId3" Type="http://schemas.openxmlformats.org/officeDocument/2006/relationships/hyperlink" Target="https://drive.google.com/file/d/1WF4PVG1Ms6dmpvcS4-NKyNZZFScvrgYr/view?usp=sharing" TargetMode="External"/><Relationship Id="rId4" Type="http://schemas.openxmlformats.org/officeDocument/2006/relationships/hyperlink" Target="https://drive.google.com/file/d/1UaSovRqYghA2ORYIocjNAden5M5NaTQg/view?usp=sharing" TargetMode="External"/><Relationship Id="rId9" Type="http://schemas.openxmlformats.org/officeDocument/2006/relationships/hyperlink" Target="https://drive.google.com/file/d/1C6jq4_8GJUet5OJFAlxy9Ny-wrpZ3jra/view?usp=sharing" TargetMode="External"/><Relationship Id="rId5" Type="http://schemas.openxmlformats.org/officeDocument/2006/relationships/hyperlink" Target="https://drive.google.com/file/d/11nMgFfeEzfnJTiQRhru0AqhqwZx_WNNy/view?usp=sharing" TargetMode="External"/><Relationship Id="rId6" Type="http://schemas.openxmlformats.org/officeDocument/2006/relationships/hyperlink" Target="https://drive.google.com/file/d/1uKpyvMv70w51RL2uahXcUT4AP07sDP73/view?usp=sharing" TargetMode="External"/><Relationship Id="rId7" Type="http://schemas.openxmlformats.org/officeDocument/2006/relationships/hyperlink" Target="https://drive.google.com/file/d/1B5m1LqhRh7b-g_ZqRM8SX_VngK081YLm/view?usp=sharing" TargetMode="External"/><Relationship Id="rId8" Type="http://schemas.openxmlformats.org/officeDocument/2006/relationships/hyperlink" Target="https://drive.google.com/file/d/1Zz0LveoBaAeZ0WouuWw69eYqVWQnuh5D/view?usp=sharing" TargetMode="External"/><Relationship Id="rId11" Type="http://schemas.openxmlformats.org/officeDocument/2006/relationships/hyperlink" Target="https://drive.google.com/file/d/1NsD3HEHgF_6I0ub9xra8FFNlCo3iO5_M/view?usp=sharing" TargetMode="External"/><Relationship Id="rId10" Type="http://schemas.openxmlformats.org/officeDocument/2006/relationships/hyperlink" Target="https://drive.google.com/file/d/154mNchJFPys4PcnFzO7Gb5r8xIcRftRE/view?usp=sharing" TargetMode="External"/><Relationship Id="rId13" Type="http://schemas.openxmlformats.org/officeDocument/2006/relationships/drawing" Target="../drawings/drawing7.xml"/><Relationship Id="rId12" Type="http://schemas.openxmlformats.org/officeDocument/2006/relationships/hyperlink" Target="https://drive.google.com/file/d/1M7fm8vh_KYnQmzprI4xH49dZALswaxvN/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mdH_7Ce0bgIj2LpVqX4mG6vw12fuHnfh/view?usp=sharing" TargetMode="External"/><Relationship Id="rId2" Type="http://schemas.openxmlformats.org/officeDocument/2006/relationships/hyperlink" Target="https://drive.google.com/file/d/1sQ3lugdXg8XbUzz43PcTlr_8MLtSvI6N/view?usp=sharing" TargetMode="External"/><Relationship Id="rId3" Type="http://schemas.openxmlformats.org/officeDocument/2006/relationships/hyperlink" Target="https://drive.google.com/file/d/195mS6PCc46RckwCDFWsXWuZYqN-wAmDB/view?usp=sharing" TargetMode="External"/><Relationship Id="rId4" Type="http://schemas.openxmlformats.org/officeDocument/2006/relationships/hyperlink" Target="https://drive.google.com/file/d/1DWXZKu-mFpuX5NgEBgI4cC0VbN63Uk-p/view?usp=sharing" TargetMode="External"/><Relationship Id="rId9" Type="http://schemas.openxmlformats.org/officeDocument/2006/relationships/hyperlink" Target="https://drive.google.com/file/d/1SUJx72cnn2D-4KC6wwZ27lKiYFElz97D/view?usp=sharing" TargetMode="External"/><Relationship Id="rId5" Type="http://schemas.openxmlformats.org/officeDocument/2006/relationships/hyperlink" Target="https://drive.google.com/file/d/1xaSdaZS9la5vbxz14GXG_6fVNDYuCUl0/view?usp=sharing" TargetMode="External"/><Relationship Id="rId6" Type="http://schemas.openxmlformats.org/officeDocument/2006/relationships/hyperlink" Target="https://drive.google.com/file/d/1nmZj2hNTdAilplKxDXXyA0dvr0OP-TOH/view?usp=sharing" TargetMode="External"/><Relationship Id="rId7" Type="http://schemas.openxmlformats.org/officeDocument/2006/relationships/hyperlink" Target="https://drive.google.com/file/d/12AXbnQfeL7IqoyxZNoFvO0Fq4SqYRTb4/view?usp=sharing" TargetMode="External"/><Relationship Id="rId8" Type="http://schemas.openxmlformats.org/officeDocument/2006/relationships/hyperlink" Target="https://drive.google.com/file/d/1QZKaRgeEL2V892cfncGTKz2B6xBE0u4R/view?usp=sharing" TargetMode="External"/><Relationship Id="rId11" Type="http://schemas.openxmlformats.org/officeDocument/2006/relationships/hyperlink" Target="https://drive.google.com/file/d/1atYrzSdiM9ZjGrMSrIeyrW2ZhNNyVntO/view?usp=sharing" TargetMode="External"/><Relationship Id="rId10" Type="http://schemas.openxmlformats.org/officeDocument/2006/relationships/hyperlink" Target="https://drive.google.com/file/d/1NjZCEI8hYdCLBO-LTzE8pAIZU0wh1_3S/view?usp=sharing" TargetMode="External"/><Relationship Id="rId1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rive.google.com/file/d/1fmKLJxTtT_jnpEizPuABODMStTa0bMlN/view?usp=sharing" TargetMode="External"/><Relationship Id="rId22" Type="http://schemas.openxmlformats.org/officeDocument/2006/relationships/hyperlink" Target="https://drive.google.com/file/d/114kT_Z23ukdF84eDPRmGtiZU-1DPYH_q/view?usp=sharing" TargetMode="External"/><Relationship Id="rId21" Type="http://schemas.openxmlformats.org/officeDocument/2006/relationships/hyperlink" Target="https://drive.google.com/file/d/1zOv7lU1DJKZAIZUhE2z-f5gyKv6tH_O5/view?usp=sharing" TargetMode="External"/><Relationship Id="rId24" Type="http://schemas.openxmlformats.org/officeDocument/2006/relationships/hyperlink" Target="https://drive.google.com/file/d/1P-fHt2kFj_QqIyO2OXxpjv48oXAAJSa6/view?usp=sharing" TargetMode="External"/><Relationship Id="rId23" Type="http://schemas.openxmlformats.org/officeDocument/2006/relationships/hyperlink" Target="https://drive.google.com/file/d/1mBGi2xAAXW5L3nVV-AOMuip2n7uOA-0O/view?usp=sharing" TargetMode="External"/><Relationship Id="rId1" Type="http://schemas.openxmlformats.org/officeDocument/2006/relationships/hyperlink" Target="https://drive.google.com/file/d/1-5dsVhK2EDU40RyfMbKQUhi_F-_-1cK9/view?usp=sharing" TargetMode="External"/><Relationship Id="rId2" Type="http://schemas.openxmlformats.org/officeDocument/2006/relationships/hyperlink" Target="https://drive.google.com/file/d/1pX16M_29qSLWOWMM3oEX0LQh8Qe-CSh2/view?usp=sharing" TargetMode="External"/><Relationship Id="rId3" Type="http://schemas.openxmlformats.org/officeDocument/2006/relationships/hyperlink" Target="https://drive.google.com/file/d/1JKX8u0ZX6zvPojOqdNRiWaMFdy36A-Ha/view?usp=sharing" TargetMode="External"/><Relationship Id="rId4" Type="http://schemas.openxmlformats.org/officeDocument/2006/relationships/hyperlink" Target="https://drive.google.com/file/d/1tCm0_uCueGCSras1JkOgZYRS5lxIfraz/view?usp=sharing" TargetMode="External"/><Relationship Id="rId9" Type="http://schemas.openxmlformats.org/officeDocument/2006/relationships/hyperlink" Target="https://drive.google.com/file/d/1sEB-8OVaK5-W1qOgLS1MDdBl_kub40JY/view?usp=sharing" TargetMode="External"/><Relationship Id="rId26" Type="http://schemas.openxmlformats.org/officeDocument/2006/relationships/hyperlink" Target="https://drive.google.com/file/d/1DiQ-P0iiFtBtHpmoZs8fLn_simGytOSQ/view?usp=sharing" TargetMode="External"/><Relationship Id="rId25" Type="http://schemas.openxmlformats.org/officeDocument/2006/relationships/hyperlink" Target="https://drive.google.com/file/d/1H74KLUxyKjIXxAVyro1olcdEHXBHEMeK/view?usp=sharing" TargetMode="External"/><Relationship Id="rId27" Type="http://schemas.openxmlformats.org/officeDocument/2006/relationships/drawing" Target="../drawings/drawing9.xml"/><Relationship Id="rId5" Type="http://schemas.openxmlformats.org/officeDocument/2006/relationships/hyperlink" Target="https://drive.google.com/file/d/12bo4s01x2t9UYbGNXFYclSjlajbMOtIU/view?usp=sharing" TargetMode="External"/><Relationship Id="rId6" Type="http://schemas.openxmlformats.org/officeDocument/2006/relationships/hyperlink" Target="https://drive.google.com/file/d/120T8rGfHZf9poeuyb2wXNTOcn4wEGd9i/view?usp=sharing" TargetMode="External"/><Relationship Id="rId7" Type="http://schemas.openxmlformats.org/officeDocument/2006/relationships/hyperlink" Target="https://drive.google.com/file/d/1pwqme95QXa9riO4BAtdLMLCAWKjNjNRT/view?usp=sharing" TargetMode="External"/><Relationship Id="rId8" Type="http://schemas.openxmlformats.org/officeDocument/2006/relationships/hyperlink" Target="https://drive.google.com/file/d/19I-fk5R_dTMw1FIjUMkFFOUlvlQSL6yv/view?usp=sharing" TargetMode="External"/><Relationship Id="rId11" Type="http://schemas.openxmlformats.org/officeDocument/2006/relationships/hyperlink" Target="https://drive.google.com/file/d/10_Xr6dQcW7CJj4-kWub9VLzILBC3vcPt/view?usp=sharing" TargetMode="External"/><Relationship Id="rId10" Type="http://schemas.openxmlformats.org/officeDocument/2006/relationships/hyperlink" Target="https://drive.google.com/file/d/1Z8o-2R7thyjJL7DK78TKvM51MolSFzq4/view?usp=sharing" TargetMode="External"/><Relationship Id="rId13" Type="http://schemas.openxmlformats.org/officeDocument/2006/relationships/hyperlink" Target="https://drive.google.com/file/d/1XlPLiSNv8Rnw4QXNkWYOwdaQEqTgJml3/view?usp=sharing" TargetMode="External"/><Relationship Id="rId12" Type="http://schemas.openxmlformats.org/officeDocument/2006/relationships/hyperlink" Target="https://drive.google.com/file/d/11T0vI5VaAHf4J2WFLidfsGZ_rhaCrQqw/view?usp=sharing" TargetMode="External"/><Relationship Id="rId15" Type="http://schemas.openxmlformats.org/officeDocument/2006/relationships/hyperlink" Target="https://drive.google.com/file/d/1dfngwGmGEG_1n-XF2-PoocDsLmPaFJ0e/view?usp=sharing" TargetMode="External"/><Relationship Id="rId14" Type="http://schemas.openxmlformats.org/officeDocument/2006/relationships/hyperlink" Target="https://drive.google.com/file/d/1cNUKxzD__ZrnwxZq0qerLSawesf2ZAkW/view?usp=sharing" TargetMode="External"/><Relationship Id="rId17" Type="http://schemas.openxmlformats.org/officeDocument/2006/relationships/hyperlink" Target="https://drive.google.com/file/d/1_XLLDWvglqWUfxY6Xoln0rjSCpWC2Wmt/view?usp=sharing" TargetMode="External"/><Relationship Id="rId16" Type="http://schemas.openxmlformats.org/officeDocument/2006/relationships/hyperlink" Target="https://drive.google.com/file/d/1ezfxJv8q6hHVrgmjwKaof6jpCQ0in3LL/view?usp=sharing" TargetMode="External"/><Relationship Id="rId19" Type="http://schemas.openxmlformats.org/officeDocument/2006/relationships/hyperlink" Target="https://drive.google.com/file/d/13uby75y59BVV6lJo5Q22kaVY2l9dYzWk/view?usp=sharing" TargetMode="External"/><Relationship Id="rId18" Type="http://schemas.openxmlformats.org/officeDocument/2006/relationships/hyperlink" Target="https://drive.google.com/file/d/1RvSQNhxnOflNhId2scyFYNR2DnDbG0FU/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file/d/146W3vwdVturrTjMAHzXPhdsHr3sLCNvB/view?usp=sharing" TargetMode="External"/><Relationship Id="rId2" Type="http://schemas.openxmlformats.org/officeDocument/2006/relationships/hyperlink" Target="https://drive.google.com/file/d/1uasOQpolMpCsTOHJ-X30iHj4sIiLli1t/view?usp=sharing" TargetMode="External"/><Relationship Id="rId3" Type="http://schemas.openxmlformats.org/officeDocument/2006/relationships/hyperlink" Target="https://drive.google.com/file/d/1HplOpyhTNReG8kKub0aIlJxu4dz4MerC/view?usp=sharing" TargetMode="External"/><Relationship Id="rId4" Type="http://schemas.openxmlformats.org/officeDocument/2006/relationships/hyperlink" Target="https://drive.google.com/file/d/1t6rTVoN6O4t29o2cOGXNA5h2B7-Qs8CN/view?usp=sharing" TargetMode="External"/><Relationship Id="rId5" Type="http://schemas.openxmlformats.org/officeDocument/2006/relationships/hyperlink" Target="https://drive.google.com/file/d/1-L_Zbfd-DeO_Vd7F0R8ifq6zN7JbKsiA/view?usp=sharing" TargetMode="External"/><Relationship Id="rId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file/d/1jlXE5kYhWSbc-6_J5-bsk-IYDqdnkxiH/view?usp=sharing" TargetMode="External"/><Relationship Id="rId2" Type="http://schemas.openxmlformats.org/officeDocument/2006/relationships/hyperlink" Target="https://drive.google.com/file/d/1jZ2TXWtI1yQsCnOrLQSpxUuoQH8ONaot/view?usp=sharing" TargetMode="External"/><Relationship Id="rId3" Type="http://schemas.openxmlformats.org/officeDocument/2006/relationships/hyperlink" Target="https://drive.google.com/file/d/1gCoPj59JDGJDGluneqMRAcTNKAMQOJ-j/view?usp=sharing" TargetMode="External"/><Relationship Id="rId4" Type="http://schemas.openxmlformats.org/officeDocument/2006/relationships/hyperlink" Target="https://drive.google.com/file/d/1GxvRWpYeqqKGhzPE1UM9Yv2iWHybl7gm/view?usp=sharing" TargetMode="External"/><Relationship Id="rId5" Type="http://schemas.openxmlformats.org/officeDocument/2006/relationships/hyperlink" Target="https://drive.google.com/file/d/1n0hyrr0ZpzticZZPQj9tNVWpmQXLspRf/view?usp=sharing" TargetMode="External"/><Relationship Id="rId6" Type="http://schemas.openxmlformats.org/officeDocument/2006/relationships/hyperlink" Target="https://drive.google.com/file/d/1UH0UmfDNP-oFsBXkezANLGyDbnIKgpY2/view?usp=sharing" TargetMode="External"/><Relationship Id="rId7" Type="http://schemas.openxmlformats.org/officeDocument/2006/relationships/hyperlink" Target="https://drive.google.com/file/d/1QhqkbP0ig1zVf1OMT5gemnmCTUrrDk9J/view?usp=sharing"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SqdCrHDdGgkUFhqiHDMRS3z7IFHGwUvq/view?usp=sharing" TargetMode="External"/><Relationship Id="rId2" Type="http://schemas.openxmlformats.org/officeDocument/2006/relationships/hyperlink" Target="https://drive.google.com/file/d/1bYib3_ZrvlkjSm7V1Naqim2ul3OL26VY/view?usp=sharing" TargetMode="External"/><Relationship Id="rId3" Type="http://schemas.openxmlformats.org/officeDocument/2006/relationships/hyperlink" Target="https://drive.google.com/file/d/1cljwEJjYmK4S_IgeinwRM8oiwNIws4zJ/view?usp=sharing" TargetMode="External"/><Relationship Id="rId4" Type="http://schemas.openxmlformats.org/officeDocument/2006/relationships/hyperlink" Target="https://drive.google.com/file/d/1EHoQAVSruwFPJ6IWwTejgVXE-y7TKMI_/view?usp=sharing" TargetMode="External"/><Relationship Id="rId5" Type="http://schemas.openxmlformats.org/officeDocument/2006/relationships/hyperlink" Target="https://drive.google.com/file/d/1L-jksJNcFlgcxSEus4fcmr9cqbAsn390/view?usp=sharing"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c5vDkdsIKEjofa6xkbhognvKnCHIr3hU/view?usp=sharing" TargetMode="External"/><Relationship Id="rId2" Type="http://schemas.openxmlformats.org/officeDocument/2006/relationships/hyperlink" Target="https://drive.google.com/file/d/1Ed5MVkCpCJUmFP-feRfT2Qhn_KGBBu4t/view?usp=sharing" TargetMode="External"/><Relationship Id="rId3" Type="http://schemas.openxmlformats.org/officeDocument/2006/relationships/hyperlink" Target="https://drive.google.com/file/d/1cU8qxOS0ENfHWIB-Zu-NYLWSOsbZFyGP/view?usp=sharing" TargetMode="External"/><Relationship Id="rId4" Type="http://schemas.openxmlformats.org/officeDocument/2006/relationships/hyperlink" Target="https://drive.google.com/file/d/15RW2O1IQvnZTGQqaLdF1NUtFg4Vs6mnt/view?usp=sharing" TargetMode="External"/><Relationship Id="rId9" Type="http://schemas.openxmlformats.org/officeDocument/2006/relationships/hyperlink" Target="https://drive.google.com/file/d/16_HhoNIcaoN9VNAts44VlindQFwMzGS6/view?usp=sharing" TargetMode="External"/><Relationship Id="rId5" Type="http://schemas.openxmlformats.org/officeDocument/2006/relationships/hyperlink" Target="https://drive.google.com/file/d/1h0Iy5a7CTjL2ht_eJ3Y_Ibq0NGQhRFhS/view?usp=sharing" TargetMode="External"/><Relationship Id="rId6" Type="http://schemas.openxmlformats.org/officeDocument/2006/relationships/hyperlink" Target="https://drive.google.com/file/d/1TBfwt01cfWM-RPQwt_k_Olakwa-lakNH/view?usp=sharing" TargetMode="External"/><Relationship Id="rId7" Type="http://schemas.openxmlformats.org/officeDocument/2006/relationships/hyperlink" Target="https://drive.google.com/file/d/1KMBxJ6MdXvUiT8cYvM1Byat7Wjt6W3A8/view?usp=sharing" TargetMode="External"/><Relationship Id="rId8" Type="http://schemas.openxmlformats.org/officeDocument/2006/relationships/hyperlink" Target="https://drive.google.com/file/d/13sT5bEB-L27Eh85ZjKtMOjsnW2eeR1zk/view?usp=sharing" TargetMode="External"/><Relationship Id="rId11" Type="http://schemas.openxmlformats.org/officeDocument/2006/relationships/hyperlink" Target="https://drive.google.com/file/d/1mAjhGXIx2XYHL2ETWpE6Ims9dHS2wiuE/view?usp=sharing" TargetMode="External"/><Relationship Id="rId10" Type="http://schemas.openxmlformats.org/officeDocument/2006/relationships/hyperlink" Target="https://drive.google.com/file/d/1iTLTt2ceiJvnf4rSklSsnvAMQd5Y_XXh/view?usp=sharing" TargetMode="External"/><Relationship Id="rId13" Type="http://schemas.openxmlformats.org/officeDocument/2006/relationships/hyperlink" Target="https://drive.google.com/file/d/1gyUuxQG1FjRMZf6VcMbzyddIeQpTH9Ij/view?usp=sharing" TargetMode="External"/><Relationship Id="rId12" Type="http://schemas.openxmlformats.org/officeDocument/2006/relationships/hyperlink" Target="https://drive.google.com/file/d/1IQQsL3XN7TZPH3wisU1gZFVkTWjPm8Df/view?usp=sharing" TargetMode="External"/><Relationship Id="rId1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file/d/1ESs9XV02MjKKgk4R1YT0CCBDhJXipPFy/view?usp=sharing" TargetMode="External"/><Relationship Id="rId2" Type="http://schemas.openxmlformats.org/officeDocument/2006/relationships/hyperlink" Target="https://drive.google.com/file/d/1YKgzijVeNm2twEf7FfDjRik0VXthTg6H/view?usp=sharing" TargetMode="External"/><Relationship Id="rId3" Type="http://schemas.openxmlformats.org/officeDocument/2006/relationships/hyperlink" Target="https://drive.google.com/file/d/1o_3VOoaT5V0YG7eZGq8GDQ45cAR7yPRt/view?usp=sharing" TargetMode="External"/><Relationship Id="rId4" Type="http://schemas.openxmlformats.org/officeDocument/2006/relationships/hyperlink" Target="https://drive.google.com/file/d/1CyQZmfEbubyNlAfkpX3nILayveWpt5cm/view?usp=sharing"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file/d/1i-LC7S-EYs1hOdGXz-12bQeU3HHTyBzV/view?usp=sharing" TargetMode="External"/><Relationship Id="rId2" Type="http://schemas.openxmlformats.org/officeDocument/2006/relationships/hyperlink" Target="https://drive.google.com/file/d/1KpI3dAeq7i2plb7X7SLqZKFP8HqOlD0I/view?usp=sharing" TargetMode="External"/><Relationship Id="rId3" Type="http://schemas.openxmlformats.org/officeDocument/2006/relationships/hyperlink" Target="https://drive.google.com/file/d/1qQqMbSk_5bjaCE43Y_TfyhkLWageSqPX/view?usp=sharing" TargetMode="External"/><Relationship Id="rId4" Type="http://schemas.openxmlformats.org/officeDocument/2006/relationships/hyperlink" Target="https://drive.google.com/file/d/1Ugtk1enIk33GVVDcwmeY_0SBAEbFdMBH/view?usp=sharing" TargetMode="External"/><Relationship Id="rId5" Type="http://schemas.openxmlformats.org/officeDocument/2006/relationships/hyperlink" Target="https://drive.google.com/file/d/1h8u0Q7hKq3DjIi6HAnsNt38xKB1X7CUP/view?usp=sharing"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file/d/1s1fLEKJeT6FoYd7L6cJxavxvfoHwHTFM/view?usp=sharing" TargetMode="External"/><Relationship Id="rId2" Type="http://schemas.openxmlformats.org/officeDocument/2006/relationships/hyperlink" Target="https://drive.google.com/file/d/1Y9-2FIUQ9oXZvxGtbIRo42TIfsXPcEe6/view?usp=sharing" TargetMode="External"/><Relationship Id="rId3" Type="http://schemas.openxmlformats.org/officeDocument/2006/relationships/hyperlink" Target="https://drive.google.com/file/d/1oxpCL2XSlKt35mnM2IdNAg4pF050P-qt/view?usp=sharing" TargetMode="External"/><Relationship Id="rId4" Type="http://schemas.openxmlformats.org/officeDocument/2006/relationships/hyperlink" Target="https://drive.google.com/file/d/1zfCpM-nJG6BZTgTXBBGxz5I3m0cRIECr/view?usp=sharing" TargetMode="External"/><Relationship Id="rId9" Type="http://schemas.openxmlformats.org/officeDocument/2006/relationships/hyperlink" Target="https://drive.google.com/file/d/1BYnsjCGl_aMbXdepqbvGnEYW5njJAFco/view?usp=sharing" TargetMode="External"/><Relationship Id="rId5" Type="http://schemas.openxmlformats.org/officeDocument/2006/relationships/hyperlink" Target="https://drive.google.com/file/d/1NUP3M-LUyTmnj8H9Tqq38oYFwRCeizfW/view?usp=sharing" TargetMode="External"/><Relationship Id="rId6" Type="http://schemas.openxmlformats.org/officeDocument/2006/relationships/hyperlink" Target="https://drive.google.com/file/d/17-lXEojVCCs6k2TH_Zw_er0W5VDGAcOr/view?usp=sharing" TargetMode="External"/><Relationship Id="rId7" Type="http://schemas.openxmlformats.org/officeDocument/2006/relationships/hyperlink" Target="https://drive.google.com/file/d/140hZuQlCmxcWkl7e6M6YDhXuyQAhOkYU/view?usp=sharing" TargetMode="External"/><Relationship Id="rId8" Type="http://schemas.openxmlformats.org/officeDocument/2006/relationships/hyperlink" Target="https://drive.google.com/file/d/1N-rrQx0nTqHbZIqTufzXD4xtdpDP96-v/view?usp=sharing" TargetMode="External"/><Relationship Id="rId11" Type="http://schemas.openxmlformats.org/officeDocument/2006/relationships/hyperlink" Target="https://drive.google.com/file/d/16un0itONLbmeLGUxfiLMy3qqTPQjPlvG/view?usp=sharing" TargetMode="External"/><Relationship Id="rId10" Type="http://schemas.openxmlformats.org/officeDocument/2006/relationships/hyperlink" Target="https://drive.google.com/file/d/1VsSPsf1njfbIDinri5WjRW00x0Tqpo_w/view?usp=sharing" TargetMode="External"/><Relationship Id="rId1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rive.google.com/file/d/122q84zREjlGuf4gHSRWdtH555xGBjla5/view?usp=sharing" TargetMode="External"/><Relationship Id="rId2" Type="http://schemas.openxmlformats.org/officeDocument/2006/relationships/hyperlink" Target="https://drive.google.com/file/d/1dhgHmzPIMF58iUSW8N0-sMCM91ZkXsqw/view?usp=sharing" TargetMode="External"/><Relationship Id="rId3" Type="http://schemas.openxmlformats.org/officeDocument/2006/relationships/hyperlink" Target="https://drive.google.com/file/d/1XIndl5RN9pEaTcFbl0rK1A9mXLSeyTu8/view?usp=sharing" TargetMode="External"/><Relationship Id="rId4" Type="http://schemas.openxmlformats.org/officeDocument/2006/relationships/hyperlink" Target="https://drive.google.com/file/d/1KCbyO4zac7Kr2ecMZkT7ma6CmB6ek2JN/view?usp=sharing" TargetMode="External"/><Relationship Id="rId5"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9.5"/>
    <col customWidth="1" min="5" max="5" width="54.13"/>
    <col customWidth="1" min="6" max="6" width="23.88"/>
    <col customWidth="1" min="7" max="24" width="9.0"/>
  </cols>
  <sheetData>
    <row r="1" ht="13.5" customHeight="1">
      <c r="A1" s="1"/>
      <c r="B1" s="1"/>
      <c r="C1" s="1"/>
      <c r="D1" s="1"/>
      <c r="E1" s="1"/>
      <c r="F1" s="1"/>
      <c r="G1" s="1"/>
      <c r="H1" s="1"/>
      <c r="I1" s="1"/>
      <c r="J1" s="1"/>
      <c r="K1" s="1"/>
      <c r="L1" s="1"/>
      <c r="M1" s="1"/>
      <c r="N1" s="1"/>
      <c r="O1" s="1"/>
      <c r="P1" s="1"/>
      <c r="Q1" s="1"/>
      <c r="R1" s="1"/>
      <c r="S1" s="1"/>
      <c r="T1" s="1"/>
      <c r="U1" s="1"/>
      <c r="V1" s="1"/>
      <c r="W1" s="1"/>
      <c r="X1" s="1"/>
    </row>
    <row r="2" ht="13.5" customHeight="1">
      <c r="A2" s="6"/>
      <c r="B2" s="10" t="s">
        <v>3</v>
      </c>
      <c r="C2" s="6"/>
      <c r="D2" s="6"/>
      <c r="E2" s="6"/>
      <c r="F2" s="6"/>
      <c r="G2" s="1"/>
      <c r="H2" s="1"/>
      <c r="I2" s="1"/>
      <c r="J2" s="1"/>
      <c r="K2" s="1"/>
      <c r="L2" s="1"/>
      <c r="M2" s="1"/>
      <c r="N2" s="1"/>
      <c r="O2" s="1"/>
      <c r="P2" s="1"/>
      <c r="Q2" s="1"/>
      <c r="R2" s="1"/>
      <c r="S2" s="1"/>
      <c r="T2" s="1"/>
      <c r="U2" s="1"/>
      <c r="V2" s="1"/>
      <c r="W2" s="1"/>
      <c r="X2" s="1"/>
    </row>
    <row r="3" ht="13.5" customHeight="1">
      <c r="A3" s="6"/>
      <c r="B3" s="16" t="s">
        <v>7</v>
      </c>
      <c r="C3" s="18" t="s">
        <v>8</v>
      </c>
      <c r="D3" s="21"/>
      <c r="E3" s="6"/>
      <c r="F3" s="6"/>
      <c r="G3" s="1"/>
      <c r="H3" s="1"/>
      <c r="I3" s="1"/>
      <c r="J3" s="1"/>
      <c r="K3" s="1"/>
      <c r="L3" s="1"/>
      <c r="M3" s="1"/>
      <c r="N3" s="1"/>
      <c r="O3" s="1"/>
      <c r="P3" s="1"/>
      <c r="Q3" s="1"/>
      <c r="R3" s="1"/>
      <c r="S3" s="1"/>
      <c r="T3" s="1"/>
      <c r="U3" s="1"/>
      <c r="V3" s="1"/>
      <c r="W3" s="1"/>
      <c r="X3" s="1"/>
    </row>
    <row r="4" ht="13.5" customHeight="1">
      <c r="A4" s="6"/>
      <c r="B4" s="16" t="s">
        <v>17</v>
      </c>
      <c r="C4" s="29">
        <v>46257.0</v>
      </c>
      <c r="D4" s="31"/>
      <c r="E4" s="6"/>
      <c r="F4" s="6"/>
      <c r="G4" s="1"/>
      <c r="H4" s="1"/>
      <c r="I4" s="1"/>
      <c r="J4" s="1"/>
      <c r="K4" s="1"/>
      <c r="L4" s="1"/>
      <c r="M4" s="1"/>
      <c r="N4" s="1"/>
      <c r="O4" s="1"/>
      <c r="P4" s="1"/>
      <c r="Q4" s="1"/>
      <c r="R4" s="1"/>
      <c r="S4" s="1"/>
      <c r="T4" s="1"/>
      <c r="U4" s="1"/>
      <c r="V4" s="1"/>
      <c r="W4" s="1"/>
      <c r="X4" s="1"/>
    </row>
    <row r="5" ht="13.5" customHeight="1">
      <c r="A5" s="6"/>
      <c r="B5" s="16"/>
      <c r="C5" s="21"/>
      <c r="D5" s="21"/>
      <c r="E5" s="6"/>
      <c r="F5" s="6"/>
      <c r="G5" s="1"/>
      <c r="H5" s="1"/>
      <c r="I5" s="1"/>
      <c r="J5" s="1"/>
      <c r="K5" s="1"/>
      <c r="L5" s="1"/>
      <c r="M5" s="1"/>
      <c r="N5" s="1"/>
      <c r="O5" s="1"/>
      <c r="P5" s="1"/>
      <c r="Q5" s="1"/>
      <c r="R5" s="1"/>
      <c r="S5" s="1"/>
      <c r="T5" s="1"/>
      <c r="U5" s="1"/>
      <c r="V5" s="1"/>
      <c r="W5" s="1"/>
      <c r="X5" s="1"/>
    </row>
    <row r="6" ht="14.25" customHeight="1">
      <c r="A6" s="6"/>
      <c r="B6" s="16" t="s">
        <v>29</v>
      </c>
      <c r="C6" s="40" t="s">
        <v>30</v>
      </c>
      <c r="D6" s="44"/>
      <c r="E6" s="46"/>
      <c r="F6" s="6"/>
      <c r="G6" s="1"/>
      <c r="H6" s="1"/>
      <c r="I6" s="1"/>
      <c r="J6" s="1"/>
      <c r="K6" s="1"/>
      <c r="L6" s="1"/>
      <c r="M6" s="1"/>
      <c r="N6" s="1"/>
      <c r="O6" s="1"/>
      <c r="P6" s="1"/>
      <c r="Q6" s="1"/>
      <c r="R6" s="1"/>
      <c r="S6" s="1"/>
      <c r="T6" s="1"/>
      <c r="U6" s="1"/>
      <c r="V6" s="1"/>
      <c r="W6" s="1"/>
      <c r="X6" s="1"/>
    </row>
    <row r="7" ht="13.5" customHeight="1">
      <c r="A7" s="6"/>
      <c r="B7" s="16" t="s">
        <v>33</v>
      </c>
      <c r="C7" s="40" t="s">
        <v>34</v>
      </c>
      <c r="D7" s="44"/>
      <c r="E7" s="46"/>
      <c r="F7" s="6"/>
      <c r="G7" s="1"/>
      <c r="H7" s="1"/>
      <c r="I7" s="1"/>
      <c r="J7" s="1"/>
      <c r="K7" s="1"/>
      <c r="L7" s="1"/>
      <c r="M7" s="1"/>
      <c r="N7" s="1"/>
      <c r="O7" s="1"/>
      <c r="P7" s="1"/>
      <c r="Q7" s="1"/>
      <c r="R7" s="1"/>
      <c r="S7" s="1"/>
      <c r="T7" s="1"/>
      <c r="U7" s="1"/>
      <c r="V7" s="1"/>
      <c r="W7" s="1"/>
      <c r="X7" s="1"/>
    </row>
    <row r="8" ht="13.5" customHeight="1">
      <c r="A8" s="6"/>
      <c r="B8" s="16"/>
      <c r="C8" s="6"/>
      <c r="D8" s="6"/>
      <c r="E8" s="6"/>
      <c r="F8" s="6"/>
      <c r="G8" s="1"/>
      <c r="H8" s="1"/>
      <c r="I8" s="1"/>
      <c r="J8" s="1"/>
      <c r="K8" s="1"/>
      <c r="L8" s="1"/>
      <c r="M8" s="1"/>
      <c r="N8" s="1"/>
      <c r="O8" s="1"/>
      <c r="P8" s="1"/>
      <c r="Q8" s="1"/>
      <c r="R8" s="1"/>
      <c r="S8" s="1"/>
      <c r="T8" s="1"/>
      <c r="U8" s="1"/>
      <c r="V8" s="1"/>
      <c r="W8" s="1"/>
      <c r="X8" s="1"/>
    </row>
    <row r="9" ht="13.5" customHeight="1">
      <c r="A9" s="6"/>
      <c r="B9" s="5"/>
      <c r="C9" s="5"/>
      <c r="D9" s="5"/>
      <c r="E9" s="5"/>
      <c r="F9" s="6"/>
      <c r="G9" s="1"/>
      <c r="H9" s="1"/>
      <c r="I9" s="1"/>
      <c r="J9" s="1"/>
      <c r="K9" s="1"/>
      <c r="L9" s="1"/>
      <c r="M9" s="1"/>
      <c r="N9" s="1"/>
      <c r="O9" s="1"/>
      <c r="P9" s="1"/>
      <c r="Q9" s="1"/>
      <c r="R9" s="1"/>
      <c r="S9" s="1"/>
      <c r="T9" s="1"/>
      <c r="U9" s="1"/>
      <c r="V9" s="1"/>
      <c r="W9" s="1"/>
      <c r="X9" s="1"/>
    </row>
    <row r="10" ht="13.5" customHeight="1">
      <c r="A10" s="1"/>
      <c r="B10" s="24" t="s">
        <v>37</v>
      </c>
      <c r="C10" s="1"/>
      <c r="D10" s="1"/>
      <c r="E10" s="1"/>
      <c r="F10" s="1"/>
      <c r="G10" s="1"/>
      <c r="H10" s="1"/>
      <c r="I10" s="1"/>
      <c r="J10" s="1"/>
      <c r="K10" s="1"/>
      <c r="L10" s="1"/>
      <c r="M10" s="1"/>
      <c r="N10" s="1"/>
      <c r="O10" s="1"/>
      <c r="P10" s="1"/>
      <c r="Q10" s="1"/>
      <c r="R10" s="1"/>
      <c r="S10" s="1"/>
      <c r="T10" s="1"/>
      <c r="U10" s="1"/>
      <c r="V10" s="1"/>
      <c r="W10" s="1"/>
      <c r="X10" s="1"/>
    </row>
    <row r="11" ht="26.25" customHeight="1">
      <c r="A11" s="43"/>
      <c r="B11" s="65" t="s">
        <v>42</v>
      </c>
      <c r="C11" s="66" t="s">
        <v>45</v>
      </c>
      <c r="D11" s="66" t="s">
        <v>46</v>
      </c>
      <c r="E11" s="66" t="s">
        <v>47</v>
      </c>
      <c r="F11" s="66" t="s">
        <v>48</v>
      </c>
      <c r="G11" s="43"/>
      <c r="H11" s="43"/>
      <c r="I11" s="43"/>
      <c r="J11" s="43"/>
      <c r="K11" s="43"/>
      <c r="L11" s="43"/>
      <c r="M11" s="43"/>
      <c r="N11" s="43"/>
      <c r="O11" s="43"/>
      <c r="P11" s="43"/>
      <c r="Q11" s="43"/>
      <c r="R11" s="43"/>
      <c r="S11" s="43"/>
      <c r="T11" s="43"/>
      <c r="U11" s="43"/>
      <c r="V11" s="43"/>
      <c r="W11" s="43"/>
      <c r="X11" s="43"/>
    </row>
    <row r="12" ht="54.0" customHeight="1">
      <c r="A12" s="43"/>
      <c r="B12" s="70">
        <v>46213.0</v>
      </c>
      <c r="C12" s="71" t="s">
        <v>8</v>
      </c>
      <c r="D12" s="73" t="s">
        <v>55</v>
      </c>
      <c r="E12" s="76" t="s">
        <v>56</v>
      </c>
      <c r="F12" s="73" t="s">
        <v>57</v>
      </c>
      <c r="G12" s="43"/>
      <c r="H12" s="43"/>
      <c r="I12" s="43"/>
      <c r="J12" s="43"/>
      <c r="K12" s="43"/>
      <c r="L12" s="43"/>
      <c r="M12" s="43"/>
      <c r="N12" s="43"/>
      <c r="O12" s="43"/>
      <c r="P12" s="43"/>
      <c r="Q12" s="43"/>
      <c r="R12" s="43"/>
      <c r="S12" s="43"/>
      <c r="T12" s="43"/>
      <c r="U12" s="43"/>
      <c r="V12" s="43"/>
      <c r="W12" s="43"/>
      <c r="X12" s="43"/>
    </row>
    <row r="13" ht="45.75" customHeight="1">
      <c r="A13" s="43"/>
      <c r="B13" s="70">
        <v>46218.0</v>
      </c>
      <c r="C13" s="71" t="s">
        <v>58</v>
      </c>
      <c r="D13" s="73" t="s">
        <v>59</v>
      </c>
      <c r="E13" s="76" t="s">
        <v>60</v>
      </c>
      <c r="F13" s="73" t="s">
        <v>57</v>
      </c>
      <c r="G13" s="43"/>
      <c r="H13" s="43"/>
      <c r="I13" s="43"/>
      <c r="J13" s="43"/>
      <c r="K13" s="43"/>
      <c r="L13" s="43"/>
      <c r="M13" s="43"/>
      <c r="N13" s="43"/>
      <c r="O13" s="43"/>
      <c r="P13" s="43"/>
      <c r="Q13" s="43"/>
      <c r="R13" s="43"/>
      <c r="S13" s="43"/>
      <c r="T13" s="43"/>
      <c r="U13" s="43"/>
      <c r="V13" s="43"/>
      <c r="W13" s="43"/>
      <c r="X13" s="43"/>
    </row>
    <row r="14" ht="36.75" customHeight="1">
      <c r="A14" s="43"/>
      <c r="B14" s="70">
        <v>46219.0</v>
      </c>
      <c r="C14" s="71" t="s">
        <v>62</v>
      </c>
      <c r="D14" s="73" t="s">
        <v>59</v>
      </c>
      <c r="E14" s="76" t="s">
        <v>63</v>
      </c>
      <c r="F14" s="73" t="s">
        <v>57</v>
      </c>
      <c r="G14" s="43"/>
      <c r="H14" s="43"/>
      <c r="I14" s="43"/>
      <c r="J14" s="43"/>
      <c r="K14" s="43"/>
      <c r="L14" s="43"/>
      <c r="M14" s="43"/>
      <c r="N14" s="43"/>
      <c r="O14" s="43"/>
      <c r="P14" s="43"/>
      <c r="Q14" s="43"/>
      <c r="R14" s="43"/>
      <c r="S14" s="43"/>
      <c r="T14" s="43"/>
      <c r="U14" s="43"/>
      <c r="V14" s="43"/>
      <c r="W14" s="43"/>
      <c r="X14" s="43"/>
    </row>
    <row r="15" ht="43.5" customHeight="1">
      <c r="A15" s="43"/>
      <c r="B15" s="70">
        <v>46226.0</v>
      </c>
      <c r="C15" s="71" t="s">
        <v>65</v>
      </c>
      <c r="D15" s="73" t="s">
        <v>67</v>
      </c>
      <c r="E15" s="76" t="s">
        <v>68</v>
      </c>
      <c r="F15" s="73" t="s">
        <v>57</v>
      </c>
      <c r="G15" s="43"/>
      <c r="H15" s="43"/>
      <c r="I15" s="43"/>
      <c r="J15" s="43"/>
      <c r="K15" s="43"/>
      <c r="L15" s="43"/>
      <c r="M15" s="43"/>
      <c r="N15" s="43"/>
      <c r="O15" s="43"/>
      <c r="P15" s="43"/>
      <c r="Q15" s="43"/>
      <c r="R15" s="43"/>
      <c r="S15" s="43"/>
      <c r="T15" s="43"/>
      <c r="U15" s="43"/>
      <c r="V15" s="43"/>
      <c r="W15" s="43"/>
      <c r="X15" s="43"/>
    </row>
    <row r="16" ht="54.75" customHeight="1">
      <c r="A16" s="84"/>
      <c r="B16" s="70">
        <v>46232.0</v>
      </c>
      <c r="C16" s="71" t="s">
        <v>73</v>
      </c>
      <c r="D16" s="73" t="s">
        <v>74</v>
      </c>
      <c r="E16" s="76" t="s">
        <v>75</v>
      </c>
      <c r="F16" s="73" t="s">
        <v>57</v>
      </c>
      <c r="G16" s="84"/>
      <c r="H16" s="84"/>
      <c r="I16" s="84"/>
      <c r="J16" s="84"/>
      <c r="K16" s="84"/>
      <c r="L16" s="84"/>
      <c r="M16" s="84"/>
      <c r="N16" s="84"/>
      <c r="O16" s="84"/>
      <c r="P16" s="84"/>
      <c r="Q16" s="84"/>
      <c r="R16" s="84"/>
      <c r="S16" s="84"/>
      <c r="T16" s="84"/>
      <c r="U16" s="84"/>
      <c r="V16" s="84"/>
      <c r="W16" s="84"/>
      <c r="X16" s="84"/>
    </row>
    <row r="17" ht="55.5" customHeight="1">
      <c r="A17" s="84"/>
      <c r="B17" s="70">
        <v>46233.0</v>
      </c>
      <c r="C17" s="71" t="s">
        <v>76</v>
      </c>
      <c r="D17" s="73" t="s">
        <v>77</v>
      </c>
      <c r="E17" s="76" t="s">
        <v>78</v>
      </c>
      <c r="F17" s="73" t="s">
        <v>57</v>
      </c>
      <c r="G17" s="84"/>
      <c r="H17" s="84"/>
      <c r="I17" s="84"/>
      <c r="J17" s="84"/>
      <c r="K17" s="84"/>
      <c r="L17" s="84"/>
      <c r="M17" s="84"/>
      <c r="N17" s="84"/>
      <c r="O17" s="84"/>
      <c r="P17" s="84"/>
      <c r="Q17" s="84"/>
      <c r="R17" s="84"/>
      <c r="S17" s="84"/>
      <c r="T17" s="84"/>
      <c r="U17" s="84"/>
      <c r="V17" s="84"/>
      <c r="W17" s="84"/>
      <c r="X17" s="84"/>
    </row>
    <row r="18" ht="35.25" customHeight="1">
      <c r="A18" s="43"/>
      <c r="B18" s="70">
        <v>46234.0</v>
      </c>
      <c r="C18" s="71" t="s">
        <v>79</v>
      </c>
      <c r="D18" s="73" t="s">
        <v>80</v>
      </c>
      <c r="E18" s="76" t="s">
        <v>81</v>
      </c>
      <c r="F18" s="73" t="s">
        <v>57</v>
      </c>
      <c r="G18" s="43"/>
      <c r="H18" s="43"/>
      <c r="I18" s="43"/>
      <c r="J18" s="43"/>
      <c r="K18" s="43"/>
      <c r="L18" s="43"/>
      <c r="M18" s="43"/>
      <c r="N18" s="43"/>
      <c r="O18" s="43"/>
      <c r="P18" s="43"/>
      <c r="Q18" s="43"/>
      <c r="R18" s="43"/>
      <c r="S18" s="43"/>
      <c r="T18" s="43"/>
      <c r="U18" s="43"/>
      <c r="V18" s="43"/>
      <c r="W18" s="43"/>
      <c r="X18" s="43"/>
    </row>
    <row r="19" ht="52.5" customHeight="1">
      <c r="A19" s="43"/>
      <c r="B19" s="70">
        <v>46240.0</v>
      </c>
      <c r="C19" s="71" t="s">
        <v>84</v>
      </c>
      <c r="D19" s="73" t="s">
        <v>85</v>
      </c>
      <c r="E19" s="76" t="s">
        <v>86</v>
      </c>
      <c r="F19" s="73" t="s">
        <v>57</v>
      </c>
      <c r="G19" s="43"/>
      <c r="H19" s="43"/>
      <c r="I19" s="43"/>
      <c r="J19" s="43"/>
      <c r="K19" s="43"/>
      <c r="L19" s="43"/>
      <c r="M19" s="43"/>
      <c r="N19" s="43"/>
      <c r="O19" s="43"/>
      <c r="P19" s="43"/>
      <c r="Q19" s="43"/>
      <c r="R19" s="43"/>
      <c r="S19" s="43"/>
      <c r="T19" s="43"/>
      <c r="U19" s="43"/>
      <c r="V19" s="43"/>
      <c r="W19" s="43"/>
      <c r="X19" s="43"/>
    </row>
    <row r="20" ht="42.75" customHeight="1">
      <c r="A20" s="43"/>
      <c r="B20" s="70">
        <v>46241.0</v>
      </c>
      <c r="C20" s="71" t="s">
        <v>87</v>
      </c>
      <c r="D20" s="73" t="s">
        <v>85</v>
      </c>
      <c r="E20" s="76" t="s">
        <v>88</v>
      </c>
      <c r="F20" s="73" t="s">
        <v>57</v>
      </c>
      <c r="G20" s="43"/>
      <c r="H20" s="43"/>
      <c r="I20" s="43"/>
      <c r="J20" s="43"/>
      <c r="K20" s="43"/>
      <c r="L20" s="43"/>
      <c r="M20" s="43"/>
      <c r="N20" s="43"/>
      <c r="O20" s="43"/>
      <c r="P20" s="43"/>
      <c r="Q20" s="43"/>
      <c r="R20" s="43"/>
      <c r="S20" s="43"/>
      <c r="T20" s="43"/>
      <c r="U20" s="43"/>
      <c r="V20" s="43"/>
      <c r="W20" s="43"/>
      <c r="X20" s="43"/>
    </row>
    <row r="21" ht="47.25" customHeight="1">
      <c r="A21" s="43"/>
      <c r="B21" s="70">
        <v>46242.0</v>
      </c>
      <c r="C21" s="71" t="s">
        <v>93</v>
      </c>
      <c r="D21" s="73" t="s">
        <v>85</v>
      </c>
      <c r="E21" s="76" t="s">
        <v>95</v>
      </c>
      <c r="F21" s="73" t="s">
        <v>57</v>
      </c>
      <c r="G21" s="43"/>
      <c r="H21" s="43"/>
      <c r="I21" s="43"/>
      <c r="J21" s="43"/>
      <c r="K21" s="43"/>
      <c r="L21" s="43"/>
      <c r="M21" s="43"/>
      <c r="N21" s="43"/>
      <c r="O21" s="43"/>
      <c r="P21" s="43"/>
      <c r="Q21" s="43"/>
      <c r="R21" s="43"/>
      <c r="S21" s="43"/>
      <c r="T21" s="43"/>
      <c r="U21" s="43"/>
      <c r="V21" s="43"/>
      <c r="W21" s="43"/>
      <c r="X21" s="43"/>
    </row>
    <row r="22" ht="44.25" customHeight="1">
      <c r="A22" s="43"/>
      <c r="B22" s="70">
        <v>46245.0</v>
      </c>
      <c r="C22" s="71" t="s">
        <v>96</v>
      </c>
      <c r="D22" s="73" t="s">
        <v>97</v>
      </c>
      <c r="E22" s="76" t="s">
        <v>98</v>
      </c>
      <c r="F22" s="73" t="s">
        <v>57</v>
      </c>
      <c r="G22" s="43"/>
      <c r="H22" s="43"/>
      <c r="I22" s="43"/>
      <c r="J22" s="43"/>
      <c r="K22" s="43"/>
      <c r="L22" s="43"/>
      <c r="M22" s="43"/>
      <c r="N22" s="43"/>
      <c r="O22" s="43"/>
      <c r="P22" s="43"/>
      <c r="Q22" s="43"/>
      <c r="R22" s="43"/>
      <c r="S22" s="43"/>
      <c r="T22" s="43"/>
      <c r="U22" s="43"/>
      <c r="V22" s="43"/>
      <c r="W22" s="43"/>
      <c r="X22" s="43"/>
    </row>
    <row r="23" ht="41.25" customHeight="1">
      <c r="A23" s="43"/>
      <c r="B23" s="70">
        <v>46246.0</v>
      </c>
      <c r="C23" s="71" t="s">
        <v>101</v>
      </c>
      <c r="D23" s="73" t="s">
        <v>102</v>
      </c>
      <c r="E23" s="76" t="s">
        <v>103</v>
      </c>
      <c r="F23" s="73" t="s">
        <v>57</v>
      </c>
      <c r="G23" s="43"/>
      <c r="H23" s="43"/>
      <c r="I23" s="43"/>
      <c r="J23" s="43"/>
      <c r="K23" s="43"/>
      <c r="L23" s="43"/>
      <c r="M23" s="43"/>
      <c r="N23" s="43"/>
      <c r="O23" s="43"/>
      <c r="P23" s="43"/>
      <c r="Q23" s="43"/>
      <c r="R23" s="43"/>
      <c r="S23" s="43"/>
      <c r="T23" s="43"/>
      <c r="U23" s="43"/>
      <c r="V23" s="43"/>
      <c r="W23" s="43"/>
      <c r="X23" s="43"/>
    </row>
    <row r="24" ht="51.0" customHeight="1">
      <c r="A24" s="43"/>
      <c r="B24" s="70">
        <v>46247.0</v>
      </c>
      <c r="C24" s="71" t="s">
        <v>104</v>
      </c>
      <c r="D24" s="73" t="s">
        <v>105</v>
      </c>
      <c r="E24" s="76" t="s">
        <v>106</v>
      </c>
      <c r="F24" s="73" t="s">
        <v>57</v>
      </c>
      <c r="G24" s="43"/>
      <c r="H24" s="43"/>
      <c r="I24" s="43"/>
      <c r="J24" s="43"/>
      <c r="K24" s="43"/>
      <c r="L24" s="43"/>
      <c r="M24" s="43"/>
      <c r="N24" s="43"/>
      <c r="O24" s="43"/>
      <c r="P24" s="43"/>
      <c r="Q24" s="43"/>
      <c r="R24" s="43"/>
      <c r="S24" s="43"/>
      <c r="T24" s="43"/>
      <c r="U24" s="43"/>
      <c r="V24" s="43"/>
      <c r="W24" s="43"/>
      <c r="X24" s="43"/>
    </row>
    <row r="25" ht="47.25" customHeight="1">
      <c r="A25" s="43"/>
      <c r="B25" s="70">
        <v>46248.0</v>
      </c>
      <c r="C25" s="71" t="s">
        <v>108</v>
      </c>
      <c r="D25" s="90" t="s">
        <v>110</v>
      </c>
      <c r="E25" s="76" t="s">
        <v>111</v>
      </c>
      <c r="F25" s="73" t="s">
        <v>57</v>
      </c>
      <c r="G25" s="43"/>
      <c r="H25" s="43"/>
      <c r="I25" s="43"/>
      <c r="J25" s="43"/>
      <c r="K25" s="43"/>
      <c r="L25" s="43"/>
      <c r="M25" s="43"/>
      <c r="N25" s="43"/>
      <c r="O25" s="43"/>
      <c r="P25" s="43"/>
      <c r="Q25" s="43"/>
      <c r="R25" s="43"/>
      <c r="S25" s="43"/>
      <c r="T25" s="43"/>
      <c r="U25" s="43"/>
      <c r="V25" s="43"/>
      <c r="W25" s="43"/>
      <c r="X25" s="43"/>
    </row>
    <row r="26" ht="48.0" customHeight="1">
      <c r="A26" s="43"/>
      <c r="B26" s="91">
        <v>46249.0</v>
      </c>
      <c r="C26" s="71" t="s">
        <v>116</v>
      </c>
      <c r="D26" s="90" t="s">
        <v>110</v>
      </c>
      <c r="E26" s="76" t="s">
        <v>117</v>
      </c>
      <c r="F26" s="73" t="s">
        <v>57</v>
      </c>
      <c r="G26" s="43"/>
      <c r="H26" s="43"/>
      <c r="I26" s="43"/>
      <c r="J26" s="43"/>
      <c r="K26" s="43"/>
      <c r="L26" s="43"/>
      <c r="M26" s="43"/>
      <c r="N26" s="43"/>
      <c r="O26" s="43"/>
      <c r="P26" s="43"/>
      <c r="Q26" s="43"/>
      <c r="R26" s="43"/>
      <c r="S26" s="43"/>
      <c r="T26" s="43"/>
      <c r="U26" s="43"/>
      <c r="V26" s="43"/>
      <c r="W26" s="43"/>
      <c r="X26" s="43"/>
    </row>
    <row r="27" ht="54.0" customHeight="1">
      <c r="A27" s="43"/>
      <c r="B27" s="91">
        <v>46252.0</v>
      </c>
      <c r="C27" s="71" t="s">
        <v>119</v>
      </c>
      <c r="D27" s="90" t="s">
        <v>120</v>
      </c>
      <c r="E27" s="76" t="s">
        <v>121</v>
      </c>
      <c r="F27" s="73" t="s">
        <v>57</v>
      </c>
      <c r="G27" s="43"/>
      <c r="H27" s="43"/>
      <c r="I27" s="43"/>
      <c r="J27" s="43"/>
      <c r="K27" s="43"/>
      <c r="L27" s="43"/>
      <c r="M27" s="43"/>
      <c r="N27" s="43"/>
      <c r="O27" s="43"/>
      <c r="P27" s="43"/>
      <c r="Q27" s="43"/>
      <c r="R27" s="43"/>
      <c r="S27" s="43"/>
      <c r="T27" s="43"/>
      <c r="U27" s="43"/>
      <c r="V27" s="43"/>
      <c r="W27" s="43"/>
      <c r="X27" s="43"/>
    </row>
    <row r="28" ht="54.0" customHeight="1">
      <c r="A28" s="43"/>
      <c r="B28" s="91">
        <v>46255.0</v>
      </c>
      <c r="C28" s="71" t="s">
        <v>122</v>
      </c>
      <c r="D28" s="90" t="s">
        <v>123</v>
      </c>
      <c r="E28" s="76" t="s">
        <v>124</v>
      </c>
      <c r="F28" s="73" t="s">
        <v>57</v>
      </c>
      <c r="G28" s="43"/>
      <c r="H28" s="43"/>
      <c r="I28" s="43"/>
      <c r="J28" s="43"/>
      <c r="K28" s="43"/>
      <c r="L28" s="43"/>
      <c r="M28" s="43"/>
      <c r="N28" s="43"/>
      <c r="O28" s="43"/>
      <c r="P28" s="43"/>
      <c r="Q28" s="43"/>
      <c r="R28" s="43"/>
      <c r="S28" s="43"/>
      <c r="T28" s="43"/>
      <c r="U28" s="43"/>
      <c r="V28" s="43"/>
      <c r="W28" s="43"/>
      <c r="X28" s="43"/>
    </row>
    <row r="29" ht="50.25" customHeight="1">
      <c r="A29" s="43"/>
      <c r="B29" s="91">
        <v>46256.0</v>
      </c>
      <c r="C29" s="71" t="s">
        <v>128</v>
      </c>
      <c r="D29" s="90" t="s">
        <v>130</v>
      </c>
      <c r="E29" s="76" t="s">
        <v>131</v>
      </c>
      <c r="F29" s="73" t="s">
        <v>57</v>
      </c>
      <c r="G29" s="43"/>
      <c r="H29" s="43"/>
      <c r="I29" s="43"/>
      <c r="J29" s="43"/>
      <c r="K29" s="43"/>
      <c r="L29" s="43"/>
      <c r="M29" s="43"/>
      <c r="N29" s="43"/>
      <c r="O29" s="43"/>
      <c r="P29" s="43"/>
      <c r="Q29" s="43"/>
      <c r="R29" s="43"/>
      <c r="S29" s="43"/>
      <c r="T29" s="43"/>
      <c r="U29" s="43"/>
      <c r="V29" s="43"/>
      <c r="W29" s="43"/>
      <c r="X29" s="43"/>
    </row>
    <row r="30" ht="60.0" customHeight="1">
      <c r="A30" s="43"/>
      <c r="B30" s="92">
        <v>46257.0</v>
      </c>
      <c r="C30" s="93" t="s">
        <v>134</v>
      </c>
      <c r="D30" s="94" t="s">
        <v>135</v>
      </c>
      <c r="E30" s="76" t="s">
        <v>137</v>
      </c>
      <c r="F30" s="73" t="s">
        <v>57</v>
      </c>
      <c r="G30" s="43"/>
      <c r="H30" s="43"/>
      <c r="I30" s="43"/>
      <c r="J30" s="43"/>
      <c r="K30" s="43"/>
      <c r="L30" s="43"/>
      <c r="M30" s="43"/>
      <c r="N30" s="43"/>
      <c r="O30" s="43"/>
      <c r="P30" s="43"/>
      <c r="Q30" s="43"/>
      <c r="R30" s="43"/>
      <c r="S30" s="43"/>
      <c r="T30" s="43"/>
      <c r="U30" s="43"/>
      <c r="V30" s="43"/>
      <c r="W30" s="43"/>
      <c r="X30" s="43"/>
    </row>
    <row r="31" ht="13.5" customHeight="1">
      <c r="A31" s="1"/>
      <c r="B31" s="1"/>
      <c r="C31" s="1"/>
      <c r="D31" s="1"/>
      <c r="E31" s="1"/>
      <c r="F31" s="1"/>
      <c r="G31" s="1"/>
      <c r="H31" s="1"/>
      <c r="I31" s="1"/>
      <c r="J31" s="1"/>
      <c r="K31" s="1"/>
      <c r="L31" s="1"/>
      <c r="M31" s="1"/>
      <c r="N31" s="1"/>
      <c r="O31" s="1"/>
      <c r="P31" s="1"/>
      <c r="Q31" s="1"/>
      <c r="R31" s="1"/>
      <c r="S31" s="1"/>
      <c r="T31" s="1"/>
      <c r="U31" s="1"/>
      <c r="V31" s="1"/>
      <c r="W31" s="1"/>
      <c r="X31" s="1"/>
    </row>
    <row r="32" ht="13.5" customHeight="1">
      <c r="A32" s="1"/>
      <c r="B32" s="1"/>
      <c r="C32" s="1"/>
      <c r="D32" s="95"/>
      <c r="E32" s="1"/>
      <c r="F32" s="1"/>
      <c r="G32" s="1"/>
      <c r="H32" s="1"/>
      <c r="I32" s="1"/>
      <c r="J32" s="1"/>
      <c r="K32" s="1"/>
      <c r="L32" s="1"/>
      <c r="M32" s="1"/>
      <c r="N32" s="1"/>
      <c r="O32" s="1"/>
      <c r="P32" s="1"/>
      <c r="Q32" s="1"/>
      <c r="R32" s="1"/>
      <c r="S32" s="1"/>
      <c r="T32" s="1"/>
      <c r="U32" s="1"/>
      <c r="V32" s="1"/>
      <c r="W32" s="1"/>
      <c r="X32" s="1"/>
    </row>
    <row r="33" ht="13.5" customHeight="1">
      <c r="A33" s="1"/>
      <c r="B33" s="1"/>
      <c r="C33" s="1"/>
      <c r="D33" s="1"/>
      <c r="E33" s="1"/>
      <c r="F33" s="1"/>
      <c r="G33" s="1"/>
      <c r="H33" s="1"/>
      <c r="I33" s="1"/>
      <c r="J33" s="1"/>
      <c r="K33" s="1"/>
      <c r="L33" s="1"/>
      <c r="M33" s="1"/>
      <c r="N33" s="1"/>
      <c r="O33" s="1"/>
      <c r="P33" s="1"/>
      <c r="Q33" s="1"/>
      <c r="R33" s="1"/>
      <c r="S33" s="1"/>
      <c r="T33" s="1"/>
      <c r="U33" s="1"/>
      <c r="V33" s="1"/>
      <c r="W33" s="1"/>
      <c r="X33" s="1"/>
    </row>
    <row r="34" ht="13.5" customHeight="1">
      <c r="A34" s="1"/>
      <c r="B34" s="1"/>
      <c r="C34" s="1"/>
      <c r="D34" s="1"/>
      <c r="E34" s="1"/>
      <c r="F34" s="1"/>
      <c r="G34" s="1"/>
      <c r="H34" s="1"/>
      <c r="I34" s="1"/>
      <c r="J34" s="1"/>
      <c r="K34" s="1"/>
      <c r="L34" s="1"/>
      <c r="M34" s="1"/>
      <c r="N34" s="1"/>
      <c r="O34" s="1"/>
      <c r="P34" s="1"/>
      <c r="Q34" s="1"/>
      <c r="R34" s="1"/>
      <c r="S34" s="1"/>
      <c r="T34" s="1"/>
      <c r="U34" s="1"/>
      <c r="V34" s="1"/>
      <c r="W34" s="1"/>
      <c r="X34" s="1"/>
    </row>
    <row r="35" ht="13.5" customHeight="1">
      <c r="A35" s="1"/>
      <c r="B35" s="1"/>
      <c r="C35" s="1"/>
      <c r="D35" s="1"/>
      <c r="E35" s="1"/>
      <c r="F35" s="1"/>
      <c r="G35" s="1"/>
      <c r="H35" s="1"/>
      <c r="I35" s="1"/>
      <c r="J35" s="1"/>
      <c r="K35" s="1"/>
      <c r="L35" s="1"/>
      <c r="M35" s="1"/>
      <c r="N35" s="1"/>
      <c r="O35" s="1"/>
      <c r="P35" s="1"/>
      <c r="Q35" s="1"/>
      <c r="R35" s="1"/>
      <c r="S35" s="1"/>
      <c r="T35" s="1"/>
      <c r="U35" s="1"/>
      <c r="V35" s="1"/>
      <c r="W35" s="1"/>
      <c r="X35" s="1"/>
    </row>
    <row r="36" ht="13.5" customHeight="1">
      <c r="A36" s="1"/>
      <c r="B36" s="1"/>
      <c r="C36" s="1"/>
      <c r="D36" s="1"/>
      <c r="E36" s="1"/>
      <c r="F36" s="1"/>
      <c r="G36" s="1"/>
      <c r="H36" s="1"/>
      <c r="I36" s="1"/>
      <c r="J36" s="1"/>
      <c r="K36" s="1"/>
      <c r="L36" s="1"/>
      <c r="M36" s="1"/>
      <c r="N36" s="1"/>
      <c r="O36" s="1"/>
      <c r="P36" s="1"/>
      <c r="Q36" s="1"/>
      <c r="R36" s="1"/>
      <c r="S36" s="1"/>
      <c r="T36" s="1"/>
      <c r="U36" s="1"/>
      <c r="V36" s="1"/>
      <c r="W36" s="1"/>
      <c r="X36" s="1"/>
    </row>
    <row r="37" ht="13.5" customHeight="1">
      <c r="A37" s="1"/>
      <c r="B37" s="1"/>
      <c r="C37" s="1"/>
      <c r="D37" s="1"/>
      <c r="E37" s="1"/>
      <c r="F37" s="1"/>
      <c r="G37" s="1"/>
      <c r="H37" s="1"/>
      <c r="I37" s="1"/>
      <c r="J37" s="1"/>
      <c r="K37" s="1"/>
      <c r="L37" s="1"/>
      <c r="M37" s="1"/>
      <c r="N37" s="1"/>
      <c r="O37" s="1"/>
      <c r="P37" s="1"/>
      <c r="Q37" s="1"/>
      <c r="R37" s="1"/>
      <c r="S37" s="1"/>
      <c r="T37" s="1"/>
      <c r="U37" s="1"/>
      <c r="V37" s="1"/>
      <c r="W37" s="1"/>
      <c r="X37" s="1"/>
    </row>
    <row r="38" ht="13.5" customHeight="1">
      <c r="A38" s="1"/>
      <c r="B38" s="1"/>
      <c r="C38" s="1"/>
      <c r="D38" s="1"/>
      <c r="E38" s="1"/>
      <c r="F38" s="1"/>
      <c r="G38" s="1"/>
      <c r="H38" s="1"/>
      <c r="I38" s="1"/>
      <c r="J38" s="1"/>
      <c r="K38" s="1"/>
      <c r="L38" s="1"/>
      <c r="M38" s="1"/>
      <c r="N38" s="1"/>
      <c r="O38" s="1"/>
      <c r="P38" s="1"/>
      <c r="Q38" s="1"/>
      <c r="R38" s="1"/>
      <c r="S38" s="1"/>
      <c r="T38" s="1"/>
      <c r="U38" s="1"/>
      <c r="V38" s="1"/>
      <c r="W38" s="1"/>
      <c r="X38" s="1"/>
    </row>
    <row r="39" ht="13.5" customHeight="1">
      <c r="A39" s="1"/>
      <c r="B39" s="1"/>
      <c r="C39" s="1"/>
      <c r="D39" s="1"/>
      <c r="E39" s="1"/>
      <c r="F39" s="1"/>
      <c r="G39" s="1"/>
      <c r="H39" s="1"/>
      <c r="I39" s="1"/>
      <c r="J39" s="1"/>
      <c r="K39" s="1"/>
      <c r="L39" s="1"/>
      <c r="M39" s="1"/>
      <c r="N39" s="1"/>
      <c r="O39" s="1"/>
      <c r="P39" s="1"/>
      <c r="Q39" s="1"/>
      <c r="R39" s="1"/>
      <c r="S39" s="1"/>
      <c r="T39" s="1"/>
      <c r="U39" s="1"/>
      <c r="V39" s="1"/>
      <c r="W39" s="1"/>
      <c r="X39" s="1"/>
    </row>
    <row r="40" ht="13.5" customHeight="1">
      <c r="A40" s="1"/>
      <c r="B40" s="1"/>
      <c r="C40" s="1"/>
      <c r="D40" s="1"/>
      <c r="E40" s="1"/>
      <c r="F40" s="1"/>
      <c r="G40" s="1"/>
      <c r="H40" s="1"/>
      <c r="I40" s="1"/>
      <c r="J40" s="1"/>
      <c r="K40" s="1"/>
      <c r="L40" s="1"/>
      <c r="M40" s="1"/>
      <c r="N40" s="1"/>
      <c r="O40" s="1"/>
      <c r="P40" s="1"/>
      <c r="Q40" s="1"/>
      <c r="R40" s="1"/>
      <c r="S40" s="1"/>
      <c r="T40" s="1"/>
      <c r="U40" s="1"/>
      <c r="V40" s="1"/>
      <c r="W40" s="1"/>
      <c r="X40" s="1"/>
    </row>
    <row r="41" ht="13.5" customHeight="1">
      <c r="A41" s="1"/>
      <c r="B41" s="1"/>
      <c r="C41" s="1"/>
      <c r="D41" s="1"/>
      <c r="E41" s="1"/>
      <c r="F41" s="1"/>
      <c r="G41" s="1"/>
      <c r="H41" s="1"/>
      <c r="I41" s="1"/>
      <c r="J41" s="1"/>
      <c r="K41" s="1"/>
      <c r="L41" s="1"/>
      <c r="M41" s="1"/>
      <c r="N41" s="1"/>
      <c r="O41" s="1"/>
      <c r="P41" s="1"/>
      <c r="Q41" s="1"/>
      <c r="R41" s="1"/>
      <c r="S41" s="1"/>
      <c r="T41" s="1"/>
      <c r="U41" s="1"/>
      <c r="V41" s="1"/>
      <c r="W41" s="1"/>
      <c r="X41" s="1"/>
    </row>
    <row r="42" ht="13.5" customHeight="1">
      <c r="A42" s="1"/>
      <c r="B42" s="1"/>
      <c r="C42" s="1"/>
      <c r="D42" s="1"/>
      <c r="E42" s="1"/>
      <c r="F42" s="1"/>
      <c r="G42" s="1"/>
      <c r="H42" s="1"/>
      <c r="I42" s="1"/>
      <c r="J42" s="1"/>
      <c r="K42" s="1"/>
      <c r="L42" s="1"/>
      <c r="M42" s="1"/>
      <c r="N42" s="1"/>
      <c r="O42" s="1"/>
      <c r="P42" s="1"/>
      <c r="Q42" s="1"/>
      <c r="R42" s="1"/>
      <c r="S42" s="1"/>
      <c r="T42" s="1"/>
      <c r="U42" s="1"/>
      <c r="V42" s="1"/>
      <c r="W42" s="1"/>
      <c r="X42" s="1"/>
    </row>
    <row r="43" ht="13.5" customHeight="1">
      <c r="A43" s="1"/>
      <c r="B43" s="1"/>
      <c r="C43" s="1"/>
      <c r="D43" s="1"/>
      <c r="E43" s="1"/>
      <c r="F43" s="1"/>
      <c r="G43" s="1"/>
      <c r="H43" s="1"/>
      <c r="I43" s="1"/>
      <c r="J43" s="1"/>
      <c r="K43" s="1"/>
      <c r="L43" s="1"/>
      <c r="M43" s="1"/>
      <c r="N43" s="1"/>
      <c r="O43" s="1"/>
      <c r="P43" s="1"/>
      <c r="Q43" s="1"/>
      <c r="R43" s="1"/>
      <c r="S43" s="1"/>
      <c r="T43" s="1"/>
      <c r="U43" s="1"/>
      <c r="V43" s="1"/>
      <c r="W43" s="1"/>
      <c r="X43" s="1"/>
    </row>
    <row r="44" ht="13.5" customHeight="1">
      <c r="A44" s="1"/>
      <c r="B44" s="1"/>
      <c r="C44" s="1"/>
      <c r="D44" s="1"/>
      <c r="E44" s="1"/>
      <c r="F44" s="1"/>
      <c r="G44" s="1"/>
      <c r="H44" s="1"/>
      <c r="I44" s="1"/>
      <c r="J44" s="1"/>
      <c r="K44" s="1"/>
      <c r="L44" s="1"/>
      <c r="M44" s="1"/>
      <c r="N44" s="1"/>
      <c r="O44" s="1"/>
      <c r="P44" s="1"/>
      <c r="Q44" s="1"/>
      <c r="R44" s="1"/>
      <c r="S44" s="1"/>
      <c r="T44" s="1"/>
      <c r="U44" s="1"/>
      <c r="V44" s="1"/>
      <c r="W44" s="1"/>
      <c r="X44" s="1"/>
    </row>
    <row r="45" ht="13.5" customHeight="1">
      <c r="A45" s="1"/>
      <c r="B45" s="1"/>
      <c r="C45" s="1"/>
      <c r="D45" s="1"/>
      <c r="E45" s="1"/>
      <c r="F45" s="1"/>
      <c r="G45" s="1"/>
      <c r="H45" s="1"/>
      <c r="I45" s="1"/>
      <c r="J45" s="1"/>
      <c r="K45" s="1"/>
      <c r="L45" s="1"/>
      <c r="M45" s="1"/>
      <c r="N45" s="1"/>
      <c r="O45" s="1"/>
      <c r="P45" s="1"/>
      <c r="Q45" s="1"/>
      <c r="R45" s="1"/>
      <c r="S45" s="1"/>
      <c r="T45" s="1"/>
      <c r="U45" s="1"/>
      <c r="V45" s="1"/>
      <c r="W45" s="1"/>
      <c r="X45" s="1"/>
    </row>
    <row r="46" ht="13.5" customHeight="1">
      <c r="A46" s="1"/>
      <c r="B46" s="1"/>
      <c r="C46" s="1"/>
      <c r="D46" s="1"/>
      <c r="E46" s="1"/>
      <c r="F46" s="1"/>
      <c r="G46" s="1"/>
      <c r="H46" s="1"/>
      <c r="I46" s="1"/>
      <c r="J46" s="1"/>
      <c r="K46" s="1"/>
      <c r="L46" s="1"/>
      <c r="M46" s="1"/>
      <c r="N46" s="1"/>
      <c r="O46" s="1"/>
      <c r="P46" s="1"/>
      <c r="Q46" s="1"/>
      <c r="R46" s="1"/>
      <c r="S46" s="1"/>
      <c r="T46" s="1"/>
      <c r="U46" s="1"/>
      <c r="V46" s="1"/>
      <c r="W46" s="1"/>
      <c r="X46" s="1"/>
    </row>
    <row r="47" ht="13.5" customHeight="1">
      <c r="A47" s="1"/>
      <c r="B47" s="1"/>
      <c r="C47" s="1"/>
      <c r="D47" s="1"/>
      <c r="E47" s="1"/>
      <c r="F47" s="1"/>
      <c r="G47" s="1"/>
      <c r="H47" s="1"/>
      <c r="I47" s="1"/>
      <c r="J47" s="1"/>
      <c r="K47" s="1"/>
      <c r="L47" s="1"/>
      <c r="M47" s="1"/>
      <c r="N47" s="1"/>
      <c r="O47" s="1"/>
      <c r="P47" s="1"/>
      <c r="Q47" s="1"/>
      <c r="R47" s="1"/>
      <c r="S47" s="1"/>
      <c r="T47" s="1"/>
      <c r="U47" s="1"/>
      <c r="V47" s="1"/>
      <c r="W47" s="1"/>
      <c r="X47" s="1"/>
    </row>
    <row r="48" ht="13.5" customHeight="1">
      <c r="A48" s="1"/>
      <c r="B48" s="1"/>
      <c r="C48" s="1"/>
      <c r="D48" s="1"/>
      <c r="E48" s="1"/>
      <c r="F48" s="1"/>
      <c r="G48" s="1"/>
      <c r="H48" s="1"/>
      <c r="I48" s="1"/>
      <c r="J48" s="1"/>
      <c r="K48" s="1"/>
      <c r="L48" s="1"/>
      <c r="M48" s="1"/>
      <c r="N48" s="1"/>
      <c r="O48" s="1"/>
      <c r="P48" s="1"/>
      <c r="Q48" s="1"/>
      <c r="R48" s="1"/>
      <c r="S48" s="1"/>
      <c r="T48" s="1"/>
      <c r="U48" s="1"/>
      <c r="V48" s="1"/>
      <c r="W48" s="1"/>
      <c r="X48" s="1"/>
    </row>
    <row r="49" ht="13.5" customHeight="1">
      <c r="A49" s="1"/>
      <c r="B49" s="1"/>
      <c r="C49" s="1"/>
      <c r="D49" s="1"/>
      <c r="E49" s="1"/>
      <c r="F49" s="1"/>
      <c r="G49" s="1"/>
      <c r="H49" s="1"/>
      <c r="I49" s="1"/>
      <c r="J49" s="1"/>
      <c r="K49" s="1"/>
      <c r="L49" s="1"/>
      <c r="M49" s="1"/>
      <c r="N49" s="1"/>
      <c r="O49" s="1"/>
      <c r="P49" s="1"/>
      <c r="Q49" s="1"/>
      <c r="R49" s="1"/>
      <c r="S49" s="1"/>
      <c r="T49" s="1"/>
      <c r="U49" s="1"/>
      <c r="V49" s="1"/>
      <c r="W49" s="1"/>
      <c r="X49" s="1"/>
    </row>
    <row r="50" ht="13.5" customHeight="1">
      <c r="A50" s="1"/>
      <c r="B50" s="1"/>
      <c r="C50" s="1"/>
      <c r="D50" s="1"/>
      <c r="E50" s="1"/>
      <c r="F50" s="1"/>
      <c r="G50" s="1"/>
      <c r="H50" s="1"/>
      <c r="I50" s="1"/>
      <c r="J50" s="1"/>
      <c r="K50" s="1"/>
      <c r="L50" s="1"/>
      <c r="M50" s="1"/>
      <c r="N50" s="1"/>
      <c r="O50" s="1"/>
      <c r="P50" s="1"/>
      <c r="Q50" s="1"/>
      <c r="R50" s="1"/>
      <c r="S50" s="1"/>
      <c r="T50" s="1"/>
      <c r="U50" s="1"/>
      <c r="V50" s="1"/>
      <c r="W50" s="1"/>
      <c r="X50" s="1"/>
    </row>
    <row r="51" ht="13.5" customHeight="1">
      <c r="A51" s="1"/>
      <c r="B51" s="1"/>
      <c r="C51" s="1"/>
      <c r="D51" s="1"/>
      <c r="E51" s="1"/>
      <c r="F51" s="1"/>
      <c r="G51" s="1"/>
      <c r="H51" s="1"/>
      <c r="I51" s="1"/>
      <c r="J51" s="1"/>
      <c r="K51" s="1"/>
      <c r="L51" s="1"/>
      <c r="M51" s="1"/>
      <c r="N51" s="1"/>
      <c r="O51" s="1"/>
      <c r="P51" s="1"/>
      <c r="Q51" s="1"/>
      <c r="R51" s="1"/>
      <c r="S51" s="1"/>
      <c r="T51" s="1"/>
      <c r="U51" s="1"/>
      <c r="V51" s="1"/>
      <c r="W51" s="1"/>
      <c r="X51" s="1"/>
    </row>
    <row r="52" ht="13.5" customHeight="1">
      <c r="A52" s="1"/>
      <c r="B52" s="1"/>
      <c r="C52" s="1"/>
      <c r="D52" s="1"/>
      <c r="E52" s="1"/>
      <c r="F52" s="1"/>
      <c r="G52" s="1"/>
      <c r="H52" s="1"/>
      <c r="I52" s="1"/>
      <c r="J52" s="1"/>
      <c r="K52" s="1"/>
      <c r="L52" s="1"/>
      <c r="M52" s="1"/>
      <c r="N52" s="1"/>
      <c r="O52" s="1"/>
      <c r="P52" s="1"/>
      <c r="Q52" s="1"/>
      <c r="R52" s="1"/>
      <c r="S52" s="1"/>
      <c r="T52" s="1"/>
      <c r="U52" s="1"/>
      <c r="V52" s="1"/>
      <c r="W52" s="1"/>
      <c r="X52" s="1"/>
    </row>
    <row r="53" ht="13.5" customHeight="1">
      <c r="A53" s="1"/>
      <c r="B53" s="1"/>
      <c r="C53" s="1"/>
      <c r="D53" s="1"/>
      <c r="E53" s="1"/>
      <c r="F53" s="1"/>
      <c r="G53" s="1"/>
      <c r="H53" s="1"/>
      <c r="I53" s="1"/>
      <c r="J53" s="1"/>
      <c r="K53" s="1"/>
      <c r="L53" s="1"/>
      <c r="M53" s="1"/>
      <c r="N53" s="1"/>
      <c r="O53" s="1"/>
      <c r="P53" s="1"/>
      <c r="Q53" s="1"/>
      <c r="R53" s="1"/>
      <c r="S53" s="1"/>
      <c r="T53" s="1"/>
      <c r="U53" s="1"/>
      <c r="V53" s="1"/>
      <c r="W53" s="1"/>
      <c r="X53" s="1"/>
    </row>
    <row r="54" ht="13.5" customHeight="1">
      <c r="A54" s="1"/>
      <c r="B54" s="1"/>
      <c r="C54" s="1"/>
      <c r="D54" s="1"/>
      <c r="E54" s="1"/>
      <c r="F54" s="1"/>
      <c r="G54" s="1"/>
      <c r="H54" s="1"/>
      <c r="I54" s="1"/>
      <c r="J54" s="1"/>
      <c r="K54" s="1"/>
      <c r="L54" s="1"/>
      <c r="M54" s="1"/>
      <c r="N54" s="1"/>
      <c r="O54" s="1"/>
      <c r="P54" s="1"/>
      <c r="Q54" s="1"/>
      <c r="R54" s="1"/>
      <c r="S54" s="1"/>
      <c r="T54" s="1"/>
      <c r="U54" s="1"/>
      <c r="V54" s="1"/>
      <c r="W54" s="1"/>
      <c r="X54" s="1"/>
    </row>
    <row r="55" ht="13.5" customHeight="1">
      <c r="A55" s="1"/>
      <c r="B55" s="1"/>
      <c r="C55" s="1"/>
      <c r="D55" s="1"/>
      <c r="E55" s="1"/>
      <c r="F55" s="1"/>
      <c r="G55" s="1"/>
      <c r="H55" s="1"/>
      <c r="I55" s="1"/>
      <c r="J55" s="1"/>
      <c r="K55" s="1"/>
      <c r="L55" s="1"/>
      <c r="M55" s="1"/>
      <c r="N55" s="1"/>
      <c r="O55" s="1"/>
      <c r="P55" s="1"/>
      <c r="Q55" s="1"/>
      <c r="R55" s="1"/>
      <c r="S55" s="1"/>
      <c r="T55" s="1"/>
      <c r="U55" s="1"/>
      <c r="V55" s="1"/>
      <c r="W55" s="1"/>
      <c r="X55" s="1"/>
    </row>
    <row r="56" ht="13.5" customHeight="1">
      <c r="A56" s="1"/>
      <c r="B56" s="1"/>
      <c r="C56" s="1"/>
      <c r="D56" s="1"/>
      <c r="E56" s="1"/>
      <c r="F56" s="1"/>
      <c r="G56" s="1"/>
      <c r="H56" s="1"/>
      <c r="I56" s="1"/>
      <c r="J56" s="1"/>
      <c r="K56" s="1"/>
      <c r="L56" s="1"/>
      <c r="M56" s="1"/>
      <c r="N56" s="1"/>
      <c r="O56" s="1"/>
      <c r="P56" s="1"/>
      <c r="Q56" s="1"/>
      <c r="R56" s="1"/>
      <c r="S56" s="1"/>
      <c r="T56" s="1"/>
      <c r="U56" s="1"/>
      <c r="V56" s="1"/>
      <c r="W56" s="1"/>
      <c r="X56" s="1"/>
    </row>
    <row r="57" ht="13.5" customHeight="1">
      <c r="A57" s="1"/>
      <c r="B57" s="1"/>
      <c r="C57" s="1"/>
      <c r="D57" s="1"/>
      <c r="E57" s="1"/>
      <c r="F57" s="1"/>
      <c r="G57" s="1"/>
      <c r="H57" s="1"/>
      <c r="I57" s="1"/>
      <c r="J57" s="1"/>
      <c r="K57" s="1"/>
      <c r="L57" s="1"/>
      <c r="M57" s="1"/>
      <c r="N57" s="1"/>
      <c r="O57" s="1"/>
      <c r="P57" s="1"/>
      <c r="Q57" s="1"/>
      <c r="R57" s="1"/>
      <c r="S57" s="1"/>
      <c r="T57" s="1"/>
      <c r="U57" s="1"/>
      <c r="V57" s="1"/>
      <c r="W57" s="1"/>
      <c r="X57" s="1"/>
    </row>
    <row r="58" ht="13.5" customHeight="1">
      <c r="A58" s="1"/>
      <c r="B58" s="1"/>
      <c r="C58" s="1"/>
      <c r="D58" s="1"/>
      <c r="E58" s="1"/>
      <c r="F58" s="1"/>
      <c r="G58" s="1"/>
      <c r="H58" s="1"/>
      <c r="I58" s="1"/>
      <c r="J58" s="1"/>
      <c r="K58" s="1"/>
      <c r="L58" s="1"/>
      <c r="M58" s="1"/>
      <c r="N58" s="1"/>
      <c r="O58" s="1"/>
      <c r="P58" s="1"/>
      <c r="Q58" s="1"/>
      <c r="R58" s="1"/>
      <c r="S58" s="1"/>
      <c r="T58" s="1"/>
      <c r="U58" s="1"/>
      <c r="V58" s="1"/>
      <c r="W58" s="1"/>
      <c r="X58" s="1"/>
    </row>
    <row r="59" ht="13.5" customHeight="1">
      <c r="A59" s="1"/>
      <c r="B59" s="1"/>
      <c r="C59" s="1"/>
      <c r="D59" s="1"/>
      <c r="E59" s="1"/>
      <c r="F59" s="1"/>
      <c r="G59" s="1"/>
      <c r="H59" s="1"/>
      <c r="I59" s="1"/>
      <c r="J59" s="1"/>
      <c r="K59" s="1"/>
      <c r="L59" s="1"/>
      <c r="M59" s="1"/>
      <c r="N59" s="1"/>
      <c r="O59" s="1"/>
      <c r="P59" s="1"/>
      <c r="Q59" s="1"/>
      <c r="R59" s="1"/>
      <c r="S59" s="1"/>
      <c r="T59" s="1"/>
      <c r="U59" s="1"/>
      <c r="V59" s="1"/>
      <c r="W59" s="1"/>
      <c r="X59" s="1"/>
    </row>
    <row r="60" ht="13.5" customHeight="1">
      <c r="A60" s="1"/>
      <c r="B60" s="1"/>
      <c r="C60" s="1"/>
      <c r="D60" s="1"/>
      <c r="E60" s="1"/>
      <c r="F60" s="1"/>
      <c r="G60" s="1"/>
      <c r="H60" s="1"/>
      <c r="I60" s="1"/>
      <c r="J60" s="1"/>
      <c r="K60" s="1"/>
      <c r="L60" s="1"/>
      <c r="M60" s="1"/>
      <c r="N60" s="1"/>
      <c r="O60" s="1"/>
      <c r="P60" s="1"/>
      <c r="Q60" s="1"/>
      <c r="R60" s="1"/>
      <c r="S60" s="1"/>
      <c r="T60" s="1"/>
      <c r="U60" s="1"/>
      <c r="V60" s="1"/>
      <c r="W60" s="1"/>
      <c r="X60" s="1"/>
    </row>
    <row r="61" ht="13.5" customHeight="1">
      <c r="A61" s="1"/>
      <c r="B61" s="1"/>
      <c r="C61" s="1"/>
      <c r="D61" s="1"/>
      <c r="E61" s="1"/>
      <c r="F61" s="1"/>
      <c r="G61" s="1"/>
      <c r="H61" s="1"/>
      <c r="I61" s="1"/>
      <c r="J61" s="1"/>
      <c r="K61" s="1"/>
      <c r="L61" s="1"/>
      <c r="M61" s="1"/>
      <c r="N61" s="1"/>
      <c r="O61" s="1"/>
      <c r="P61" s="1"/>
      <c r="Q61" s="1"/>
      <c r="R61" s="1"/>
      <c r="S61" s="1"/>
      <c r="T61" s="1"/>
      <c r="U61" s="1"/>
      <c r="V61" s="1"/>
      <c r="W61" s="1"/>
      <c r="X61" s="1"/>
    </row>
    <row r="62" ht="13.5" customHeight="1">
      <c r="A62" s="1"/>
      <c r="B62" s="1"/>
      <c r="C62" s="1"/>
      <c r="D62" s="1"/>
      <c r="E62" s="1"/>
      <c r="F62" s="1"/>
      <c r="G62" s="1"/>
      <c r="H62" s="1"/>
      <c r="I62" s="1"/>
      <c r="J62" s="1"/>
      <c r="K62" s="1"/>
      <c r="L62" s="1"/>
      <c r="M62" s="1"/>
      <c r="N62" s="1"/>
      <c r="O62" s="1"/>
      <c r="P62" s="1"/>
      <c r="Q62" s="1"/>
      <c r="R62" s="1"/>
      <c r="S62" s="1"/>
      <c r="T62" s="1"/>
      <c r="U62" s="1"/>
      <c r="V62" s="1"/>
      <c r="W62" s="1"/>
      <c r="X62" s="1"/>
    </row>
    <row r="63" ht="13.5" customHeight="1">
      <c r="A63" s="1"/>
      <c r="B63" s="1"/>
      <c r="C63" s="1"/>
      <c r="D63" s="1"/>
      <c r="E63" s="1"/>
      <c r="F63" s="1"/>
      <c r="G63" s="1"/>
      <c r="H63" s="1"/>
      <c r="I63" s="1"/>
      <c r="J63" s="1"/>
      <c r="K63" s="1"/>
      <c r="L63" s="1"/>
      <c r="M63" s="1"/>
      <c r="N63" s="1"/>
      <c r="O63" s="1"/>
      <c r="P63" s="1"/>
      <c r="Q63" s="1"/>
      <c r="R63" s="1"/>
      <c r="S63" s="1"/>
      <c r="T63" s="1"/>
      <c r="U63" s="1"/>
      <c r="V63" s="1"/>
      <c r="W63" s="1"/>
      <c r="X63" s="1"/>
    </row>
    <row r="64" ht="13.5" customHeight="1">
      <c r="A64" s="1"/>
      <c r="B64" s="1"/>
      <c r="C64" s="1"/>
      <c r="D64" s="1"/>
      <c r="E64" s="1"/>
      <c r="F64" s="1"/>
      <c r="G64" s="1"/>
      <c r="H64" s="1"/>
      <c r="I64" s="1"/>
      <c r="J64" s="1"/>
      <c r="K64" s="1"/>
      <c r="L64" s="1"/>
      <c r="M64" s="1"/>
      <c r="N64" s="1"/>
      <c r="O64" s="1"/>
      <c r="P64" s="1"/>
      <c r="Q64" s="1"/>
      <c r="R64" s="1"/>
      <c r="S64" s="1"/>
      <c r="T64" s="1"/>
      <c r="U64" s="1"/>
      <c r="V64" s="1"/>
      <c r="W64" s="1"/>
      <c r="X64" s="1"/>
    </row>
    <row r="65" ht="13.5" customHeight="1">
      <c r="A65" s="1"/>
      <c r="B65" s="1"/>
      <c r="C65" s="1"/>
      <c r="D65" s="1"/>
      <c r="E65" s="1"/>
      <c r="F65" s="1"/>
      <c r="G65" s="1"/>
      <c r="H65" s="1"/>
      <c r="I65" s="1"/>
      <c r="J65" s="1"/>
      <c r="K65" s="1"/>
      <c r="L65" s="1"/>
      <c r="M65" s="1"/>
      <c r="N65" s="1"/>
      <c r="O65" s="1"/>
      <c r="P65" s="1"/>
      <c r="Q65" s="1"/>
      <c r="R65" s="1"/>
      <c r="S65" s="1"/>
      <c r="T65" s="1"/>
      <c r="U65" s="1"/>
      <c r="V65" s="1"/>
      <c r="W65" s="1"/>
      <c r="X65" s="1"/>
    </row>
    <row r="66" ht="13.5" customHeight="1">
      <c r="A66" s="1"/>
      <c r="B66" s="1"/>
      <c r="C66" s="1"/>
      <c r="D66" s="1"/>
      <c r="E66" s="1"/>
      <c r="F66" s="1"/>
      <c r="G66" s="1"/>
      <c r="H66" s="1"/>
      <c r="I66" s="1"/>
      <c r="J66" s="1"/>
      <c r="K66" s="1"/>
      <c r="L66" s="1"/>
      <c r="M66" s="1"/>
      <c r="N66" s="1"/>
      <c r="O66" s="1"/>
      <c r="P66" s="1"/>
      <c r="Q66" s="1"/>
      <c r="R66" s="1"/>
      <c r="S66" s="1"/>
      <c r="T66" s="1"/>
      <c r="U66" s="1"/>
      <c r="V66" s="1"/>
      <c r="W66" s="1"/>
      <c r="X66" s="1"/>
    </row>
    <row r="67" ht="13.5" customHeight="1">
      <c r="A67" s="1"/>
      <c r="B67" s="1"/>
      <c r="C67" s="1"/>
      <c r="D67" s="1"/>
      <c r="E67" s="1"/>
      <c r="F67" s="1"/>
      <c r="G67" s="1"/>
      <c r="H67" s="1"/>
      <c r="I67" s="1"/>
      <c r="J67" s="1"/>
      <c r="K67" s="1"/>
      <c r="L67" s="1"/>
      <c r="M67" s="1"/>
      <c r="N67" s="1"/>
      <c r="O67" s="1"/>
      <c r="P67" s="1"/>
      <c r="Q67" s="1"/>
      <c r="R67" s="1"/>
      <c r="S67" s="1"/>
      <c r="T67" s="1"/>
      <c r="U67" s="1"/>
      <c r="V67" s="1"/>
      <c r="W67" s="1"/>
      <c r="X67" s="1"/>
    </row>
    <row r="68" ht="13.5" customHeight="1">
      <c r="A68" s="1"/>
      <c r="B68" s="1"/>
      <c r="C68" s="1"/>
      <c r="D68" s="1"/>
      <c r="E68" s="1"/>
      <c r="F68" s="1"/>
      <c r="G68" s="1"/>
      <c r="H68" s="1"/>
      <c r="I68" s="1"/>
      <c r="J68" s="1"/>
      <c r="K68" s="1"/>
      <c r="L68" s="1"/>
      <c r="M68" s="1"/>
      <c r="N68" s="1"/>
      <c r="O68" s="1"/>
      <c r="P68" s="1"/>
      <c r="Q68" s="1"/>
      <c r="R68" s="1"/>
      <c r="S68" s="1"/>
      <c r="T68" s="1"/>
      <c r="U68" s="1"/>
      <c r="V68" s="1"/>
      <c r="W68" s="1"/>
      <c r="X68" s="1"/>
    </row>
    <row r="69" ht="13.5" customHeight="1">
      <c r="A69" s="1"/>
      <c r="B69" s="1"/>
      <c r="C69" s="1"/>
      <c r="D69" s="1"/>
      <c r="E69" s="1"/>
      <c r="F69" s="1"/>
      <c r="G69" s="1"/>
      <c r="H69" s="1"/>
      <c r="I69" s="1"/>
      <c r="J69" s="1"/>
      <c r="K69" s="1"/>
      <c r="L69" s="1"/>
      <c r="M69" s="1"/>
      <c r="N69" s="1"/>
      <c r="O69" s="1"/>
      <c r="P69" s="1"/>
      <c r="Q69" s="1"/>
      <c r="R69" s="1"/>
      <c r="S69" s="1"/>
      <c r="T69" s="1"/>
      <c r="U69" s="1"/>
      <c r="V69" s="1"/>
      <c r="W69" s="1"/>
      <c r="X69" s="1"/>
    </row>
    <row r="70" ht="13.5" customHeight="1">
      <c r="A70" s="1"/>
      <c r="B70" s="1"/>
      <c r="C70" s="1"/>
      <c r="D70" s="1"/>
      <c r="E70" s="1"/>
      <c r="F70" s="1"/>
      <c r="G70" s="1"/>
      <c r="H70" s="1"/>
      <c r="I70" s="1"/>
      <c r="J70" s="1"/>
      <c r="K70" s="1"/>
      <c r="L70" s="1"/>
      <c r="M70" s="1"/>
      <c r="N70" s="1"/>
      <c r="O70" s="1"/>
      <c r="P70" s="1"/>
      <c r="Q70" s="1"/>
      <c r="R70" s="1"/>
      <c r="S70" s="1"/>
      <c r="T70" s="1"/>
      <c r="U70" s="1"/>
      <c r="V70" s="1"/>
      <c r="W70" s="1"/>
      <c r="X70" s="1"/>
    </row>
    <row r="71" ht="13.5" customHeight="1">
      <c r="A71" s="1"/>
      <c r="B71" s="1"/>
      <c r="C71" s="1"/>
      <c r="D71" s="1"/>
      <c r="E71" s="1"/>
      <c r="F71" s="1"/>
      <c r="G71" s="1"/>
      <c r="H71" s="1"/>
      <c r="I71" s="1"/>
      <c r="J71" s="1"/>
      <c r="K71" s="1"/>
      <c r="L71" s="1"/>
      <c r="M71" s="1"/>
      <c r="N71" s="1"/>
      <c r="O71" s="1"/>
      <c r="P71" s="1"/>
      <c r="Q71" s="1"/>
      <c r="R71" s="1"/>
      <c r="S71" s="1"/>
      <c r="T71" s="1"/>
      <c r="U71" s="1"/>
      <c r="V71" s="1"/>
      <c r="W71" s="1"/>
      <c r="X71" s="1"/>
    </row>
    <row r="72" ht="13.5" customHeight="1">
      <c r="A72" s="1"/>
      <c r="B72" s="1"/>
      <c r="C72" s="1"/>
      <c r="D72" s="1"/>
      <c r="E72" s="1"/>
      <c r="F72" s="1"/>
      <c r="G72" s="1"/>
      <c r="H72" s="1"/>
      <c r="I72" s="1"/>
      <c r="J72" s="1"/>
      <c r="K72" s="1"/>
      <c r="L72" s="1"/>
      <c r="M72" s="1"/>
      <c r="N72" s="1"/>
      <c r="O72" s="1"/>
      <c r="P72" s="1"/>
      <c r="Q72" s="1"/>
      <c r="R72" s="1"/>
      <c r="S72" s="1"/>
      <c r="T72" s="1"/>
      <c r="U72" s="1"/>
      <c r="V72" s="1"/>
      <c r="W72" s="1"/>
      <c r="X72" s="1"/>
    </row>
    <row r="73" ht="13.5" customHeight="1">
      <c r="A73" s="1"/>
      <c r="B73" s="1"/>
      <c r="C73" s="1"/>
      <c r="D73" s="1"/>
      <c r="E73" s="1"/>
      <c r="F73" s="1"/>
      <c r="G73" s="1"/>
      <c r="H73" s="1"/>
      <c r="I73" s="1"/>
      <c r="J73" s="1"/>
      <c r="K73" s="1"/>
      <c r="L73" s="1"/>
      <c r="M73" s="1"/>
      <c r="N73" s="1"/>
      <c r="O73" s="1"/>
      <c r="P73" s="1"/>
      <c r="Q73" s="1"/>
      <c r="R73" s="1"/>
      <c r="S73" s="1"/>
      <c r="T73" s="1"/>
      <c r="U73" s="1"/>
      <c r="V73" s="1"/>
      <c r="W73" s="1"/>
      <c r="X73" s="1"/>
    </row>
    <row r="74" ht="13.5" customHeight="1">
      <c r="A74" s="1"/>
      <c r="B74" s="1"/>
      <c r="C74" s="1"/>
      <c r="D74" s="1"/>
      <c r="E74" s="1"/>
      <c r="F74" s="1"/>
      <c r="G74" s="1"/>
      <c r="H74" s="1"/>
      <c r="I74" s="1"/>
      <c r="J74" s="1"/>
      <c r="K74" s="1"/>
      <c r="L74" s="1"/>
      <c r="M74" s="1"/>
      <c r="N74" s="1"/>
      <c r="O74" s="1"/>
      <c r="P74" s="1"/>
      <c r="Q74" s="1"/>
      <c r="R74" s="1"/>
      <c r="S74" s="1"/>
      <c r="T74" s="1"/>
      <c r="U74" s="1"/>
      <c r="V74" s="1"/>
      <c r="W74" s="1"/>
      <c r="X74" s="1"/>
    </row>
    <row r="75" ht="13.5" customHeight="1">
      <c r="A75" s="1"/>
      <c r="B75" s="1"/>
      <c r="C75" s="1"/>
      <c r="D75" s="1"/>
      <c r="E75" s="1"/>
      <c r="F75" s="1"/>
      <c r="G75" s="1"/>
      <c r="H75" s="1"/>
      <c r="I75" s="1"/>
      <c r="J75" s="1"/>
      <c r="K75" s="1"/>
      <c r="L75" s="1"/>
      <c r="M75" s="1"/>
      <c r="N75" s="1"/>
      <c r="O75" s="1"/>
      <c r="P75" s="1"/>
      <c r="Q75" s="1"/>
      <c r="R75" s="1"/>
      <c r="S75" s="1"/>
      <c r="T75" s="1"/>
      <c r="U75" s="1"/>
      <c r="V75" s="1"/>
      <c r="W75" s="1"/>
      <c r="X75" s="1"/>
    </row>
    <row r="76" ht="13.5" customHeight="1">
      <c r="A76" s="1"/>
      <c r="B76" s="1"/>
      <c r="C76" s="1"/>
      <c r="D76" s="1"/>
      <c r="E76" s="1"/>
      <c r="F76" s="1"/>
      <c r="G76" s="1"/>
      <c r="H76" s="1"/>
      <c r="I76" s="1"/>
      <c r="J76" s="1"/>
      <c r="K76" s="1"/>
      <c r="L76" s="1"/>
      <c r="M76" s="1"/>
      <c r="N76" s="1"/>
      <c r="O76" s="1"/>
      <c r="P76" s="1"/>
      <c r="Q76" s="1"/>
      <c r="R76" s="1"/>
      <c r="S76" s="1"/>
      <c r="T76" s="1"/>
      <c r="U76" s="1"/>
      <c r="V76" s="1"/>
      <c r="W76" s="1"/>
      <c r="X76" s="1"/>
    </row>
    <row r="77" ht="13.5" customHeight="1">
      <c r="A77" s="1"/>
      <c r="B77" s="1"/>
      <c r="C77" s="1"/>
      <c r="D77" s="1"/>
      <c r="E77" s="1"/>
      <c r="F77" s="1"/>
      <c r="G77" s="1"/>
      <c r="H77" s="1"/>
      <c r="I77" s="1"/>
      <c r="J77" s="1"/>
      <c r="K77" s="1"/>
      <c r="L77" s="1"/>
      <c r="M77" s="1"/>
      <c r="N77" s="1"/>
      <c r="O77" s="1"/>
      <c r="P77" s="1"/>
      <c r="Q77" s="1"/>
      <c r="R77" s="1"/>
      <c r="S77" s="1"/>
      <c r="T77" s="1"/>
      <c r="U77" s="1"/>
      <c r="V77" s="1"/>
      <c r="W77" s="1"/>
      <c r="X77" s="1"/>
    </row>
    <row r="78" ht="13.5" customHeight="1">
      <c r="A78" s="1"/>
      <c r="B78" s="1"/>
      <c r="C78" s="1"/>
      <c r="D78" s="1"/>
      <c r="E78" s="1"/>
      <c r="F78" s="1"/>
      <c r="G78" s="1"/>
      <c r="H78" s="1"/>
      <c r="I78" s="1"/>
      <c r="J78" s="1"/>
      <c r="K78" s="1"/>
      <c r="L78" s="1"/>
      <c r="M78" s="1"/>
      <c r="N78" s="1"/>
      <c r="O78" s="1"/>
      <c r="P78" s="1"/>
      <c r="Q78" s="1"/>
      <c r="R78" s="1"/>
      <c r="S78" s="1"/>
      <c r="T78" s="1"/>
      <c r="U78" s="1"/>
      <c r="V78" s="1"/>
      <c r="W78" s="1"/>
      <c r="X78" s="1"/>
    </row>
    <row r="79" ht="13.5" customHeight="1">
      <c r="A79" s="1"/>
      <c r="B79" s="1"/>
      <c r="C79" s="1"/>
      <c r="D79" s="1"/>
      <c r="E79" s="1"/>
      <c r="F79" s="1"/>
      <c r="G79" s="1"/>
      <c r="H79" s="1"/>
      <c r="I79" s="1"/>
      <c r="J79" s="1"/>
      <c r="K79" s="1"/>
      <c r="L79" s="1"/>
      <c r="M79" s="1"/>
      <c r="N79" s="1"/>
      <c r="O79" s="1"/>
      <c r="P79" s="1"/>
      <c r="Q79" s="1"/>
      <c r="R79" s="1"/>
      <c r="S79" s="1"/>
      <c r="T79" s="1"/>
      <c r="U79" s="1"/>
      <c r="V79" s="1"/>
      <c r="W79" s="1"/>
      <c r="X79" s="1"/>
    </row>
    <row r="80" ht="13.5" customHeight="1">
      <c r="A80" s="1"/>
      <c r="B80" s="1"/>
      <c r="C80" s="1"/>
      <c r="D80" s="1"/>
      <c r="E80" s="1"/>
      <c r="F80" s="1"/>
      <c r="G80" s="1"/>
      <c r="H80" s="1"/>
      <c r="I80" s="1"/>
      <c r="J80" s="1"/>
      <c r="K80" s="1"/>
      <c r="L80" s="1"/>
      <c r="M80" s="1"/>
      <c r="N80" s="1"/>
      <c r="O80" s="1"/>
      <c r="P80" s="1"/>
      <c r="Q80" s="1"/>
      <c r="R80" s="1"/>
      <c r="S80" s="1"/>
      <c r="T80" s="1"/>
      <c r="U80" s="1"/>
      <c r="V80" s="1"/>
      <c r="W80" s="1"/>
      <c r="X80" s="1"/>
    </row>
    <row r="81" ht="13.5" customHeight="1">
      <c r="A81" s="1"/>
      <c r="B81" s="1"/>
      <c r="C81" s="1"/>
      <c r="D81" s="1"/>
      <c r="E81" s="1"/>
      <c r="F81" s="1"/>
      <c r="G81" s="1"/>
      <c r="H81" s="1"/>
      <c r="I81" s="1"/>
      <c r="J81" s="1"/>
      <c r="K81" s="1"/>
      <c r="L81" s="1"/>
      <c r="M81" s="1"/>
      <c r="N81" s="1"/>
      <c r="O81" s="1"/>
      <c r="P81" s="1"/>
      <c r="Q81" s="1"/>
      <c r="R81" s="1"/>
      <c r="S81" s="1"/>
      <c r="T81" s="1"/>
      <c r="U81" s="1"/>
      <c r="V81" s="1"/>
      <c r="W81" s="1"/>
      <c r="X81" s="1"/>
    </row>
    <row r="82" ht="13.5" customHeight="1">
      <c r="A82" s="1"/>
      <c r="B82" s="1"/>
      <c r="C82" s="1"/>
      <c r="D82" s="1"/>
      <c r="E82" s="1"/>
      <c r="F82" s="1"/>
      <c r="G82" s="1"/>
      <c r="H82" s="1"/>
      <c r="I82" s="1"/>
      <c r="J82" s="1"/>
      <c r="K82" s="1"/>
      <c r="L82" s="1"/>
      <c r="M82" s="1"/>
      <c r="N82" s="1"/>
      <c r="O82" s="1"/>
      <c r="P82" s="1"/>
      <c r="Q82" s="1"/>
      <c r="R82" s="1"/>
      <c r="S82" s="1"/>
      <c r="T82" s="1"/>
      <c r="U82" s="1"/>
      <c r="V82" s="1"/>
      <c r="W82" s="1"/>
      <c r="X82" s="1"/>
    </row>
    <row r="83" ht="13.5" customHeight="1">
      <c r="A83" s="1"/>
      <c r="B83" s="1"/>
      <c r="C83" s="1"/>
      <c r="D83" s="1"/>
      <c r="E83" s="1"/>
      <c r="F83" s="1"/>
      <c r="G83" s="1"/>
      <c r="H83" s="1"/>
      <c r="I83" s="1"/>
      <c r="J83" s="1"/>
      <c r="K83" s="1"/>
      <c r="L83" s="1"/>
      <c r="M83" s="1"/>
      <c r="N83" s="1"/>
      <c r="O83" s="1"/>
      <c r="P83" s="1"/>
      <c r="Q83" s="1"/>
      <c r="R83" s="1"/>
      <c r="S83" s="1"/>
      <c r="T83" s="1"/>
      <c r="U83" s="1"/>
      <c r="V83" s="1"/>
      <c r="W83" s="1"/>
      <c r="X83" s="1"/>
    </row>
    <row r="84" ht="13.5" customHeight="1">
      <c r="A84" s="1"/>
      <c r="B84" s="1"/>
      <c r="C84" s="1"/>
      <c r="D84" s="1"/>
      <c r="E84" s="1"/>
      <c r="F84" s="1"/>
      <c r="G84" s="1"/>
      <c r="H84" s="1"/>
      <c r="I84" s="1"/>
      <c r="J84" s="1"/>
      <c r="K84" s="1"/>
      <c r="L84" s="1"/>
      <c r="M84" s="1"/>
      <c r="N84" s="1"/>
      <c r="O84" s="1"/>
      <c r="P84" s="1"/>
      <c r="Q84" s="1"/>
      <c r="R84" s="1"/>
      <c r="S84" s="1"/>
      <c r="T84" s="1"/>
      <c r="U84" s="1"/>
      <c r="V84" s="1"/>
      <c r="W84" s="1"/>
      <c r="X84" s="1"/>
    </row>
    <row r="85" ht="13.5" customHeight="1">
      <c r="A85" s="1"/>
      <c r="B85" s="1"/>
      <c r="C85" s="1"/>
      <c r="D85" s="1"/>
      <c r="E85" s="1"/>
      <c r="F85" s="1"/>
      <c r="G85" s="1"/>
      <c r="H85" s="1"/>
      <c r="I85" s="1"/>
      <c r="J85" s="1"/>
      <c r="K85" s="1"/>
      <c r="L85" s="1"/>
      <c r="M85" s="1"/>
      <c r="N85" s="1"/>
      <c r="O85" s="1"/>
      <c r="P85" s="1"/>
      <c r="Q85" s="1"/>
      <c r="R85" s="1"/>
      <c r="S85" s="1"/>
      <c r="T85" s="1"/>
      <c r="U85" s="1"/>
      <c r="V85" s="1"/>
      <c r="W85" s="1"/>
      <c r="X85" s="1"/>
    </row>
    <row r="86" ht="13.5" customHeight="1">
      <c r="A86" s="1"/>
      <c r="B86" s="1"/>
      <c r="C86" s="1"/>
      <c r="D86" s="1"/>
      <c r="E86" s="1"/>
      <c r="F86" s="1"/>
      <c r="G86" s="1"/>
      <c r="H86" s="1"/>
      <c r="I86" s="1"/>
      <c r="J86" s="1"/>
      <c r="K86" s="1"/>
      <c r="L86" s="1"/>
      <c r="M86" s="1"/>
      <c r="N86" s="1"/>
      <c r="O86" s="1"/>
      <c r="P86" s="1"/>
      <c r="Q86" s="1"/>
      <c r="R86" s="1"/>
      <c r="S86" s="1"/>
      <c r="T86" s="1"/>
      <c r="U86" s="1"/>
      <c r="V86" s="1"/>
      <c r="W86" s="1"/>
      <c r="X86" s="1"/>
    </row>
    <row r="87" ht="13.5" customHeight="1">
      <c r="A87" s="1"/>
      <c r="B87" s="1"/>
      <c r="C87" s="1"/>
      <c r="D87" s="1"/>
      <c r="E87" s="1"/>
      <c r="F87" s="1"/>
      <c r="G87" s="1"/>
      <c r="H87" s="1"/>
      <c r="I87" s="1"/>
      <c r="J87" s="1"/>
      <c r="K87" s="1"/>
      <c r="L87" s="1"/>
      <c r="M87" s="1"/>
      <c r="N87" s="1"/>
      <c r="O87" s="1"/>
      <c r="P87" s="1"/>
      <c r="Q87" s="1"/>
      <c r="R87" s="1"/>
      <c r="S87" s="1"/>
      <c r="T87" s="1"/>
      <c r="U87" s="1"/>
      <c r="V87" s="1"/>
      <c r="W87" s="1"/>
      <c r="X87" s="1"/>
    </row>
    <row r="88" ht="13.5" customHeight="1">
      <c r="A88" s="1"/>
      <c r="B88" s="1"/>
      <c r="C88" s="1"/>
      <c r="D88" s="1"/>
      <c r="E88" s="1"/>
      <c r="F88" s="1"/>
      <c r="G88" s="1"/>
      <c r="H88" s="1"/>
      <c r="I88" s="1"/>
      <c r="J88" s="1"/>
      <c r="K88" s="1"/>
      <c r="L88" s="1"/>
      <c r="M88" s="1"/>
      <c r="N88" s="1"/>
      <c r="O88" s="1"/>
      <c r="P88" s="1"/>
      <c r="Q88" s="1"/>
      <c r="R88" s="1"/>
      <c r="S88" s="1"/>
      <c r="T88" s="1"/>
      <c r="U88" s="1"/>
      <c r="V88" s="1"/>
      <c r="W88" s="1"/>
      <c r="X88" s="1"/>
    </row>
    <row r="89" ht="13.5" customHeight="1">
      <c r="A89" s="1"/>
      <c r="B89" s="1"/>
      <c r="C89" s="1"/>
      <c r="D89" s="1"/>
      <c r="E89" s="1"/>
      <c r="F89" s="1"/>
      <c r="G89" s="1"/>
      <c r="H89" s="1"/>
      <c r="I89" s="1"/>
      <c r="J89" s="1"/>
      <c r="K89" s="1"/>
      <c r="L89" s="1"/>
      <c r="M89" s="1"/>
      <c r="N89" s="1"/>
      <c r="O89" s="1"/>
      <c r="P89" s="1"/>
      <c r="Q89" s="1"/>
      <c r="R89" s="1"/>
      <c r="S89" s="1"/>
      <c r="T89" s="1"/>
      <c r="U89" s="1"/>
      <c r="V89" s="1"/>
      <c r="W89" s="1"/>
      <c r="X89" s="1"/>
    </row>
    <row r="90" ht="13.5" customHeight="1">
      <c r="A90" s="1"/>
      <c r="B90" s="1"/>
      <c r="C90" s="1"/>
      <c r="D90" s="1"/>
      <c r="E90" s="1"/>
      <c r="F90" s="1"/>
      <c r="G90" s="1"/>
      <c r="H90" s="1"/>
      <c r="I90" s="1"/>
      <c r="J90" s="1"/>
      <c r="K90" s="1"/>
      <c r="L90" s="1"/>
      <c r="M90" s="1"/>
      <c r="N90" s="1"/>
      <c r="O90" s="1"/>
      <c r="P90" s="1"/>
      <c r="Q90" s="1"/>
      <c r="R90" s="1"/>
      <c r="S90" s="1"/>
      <c r="T90" s="1"/>
      <c r="U90" s="1"/>
      <c r="V90" s="1"/>
      <c r="W90" s="1"/>
      <c r="X90" s="1"/>
    </row>
    <row r="91" ht="13.5" customHeight="1">
      <c r="A91" s="1"/>
      <c r="B91" s="1"/>
      <c r="C91" s="1"/>
      <c r="D91" s="1"/>
      <c r="E91" s="1"/>
      <c r="F91" s="1"/>
      <c r="G91" s="1"/>
      <c r="H91" s="1"/>
      <c r="I91" s="1"/>
      <c r="J91" s="1"/>
      <c r="K91" s="1"/>
      <c r="L91" s="1"/>
      <c r="M91" s="1"/>
      <c r="N91" s="1"/>
      <c r="O91" s="1"/>
      <c r="P91" s="1"/>
      <c r="Q91" s="1"/>
      <c r="R91" s="1"/>
      <c r="S91" s="1"/>
      <c r="T91" s="1"/>
      <c r="U91" s="1"/>
      <c r="V91" s="1"/>
      <c r="W91" s="1"/>
      <c r="X91" s="1"/>
    </row>
    <row r="92" ht="13.5" customHeight="1">
      <c r="A92" s="1"/>
      <c r="B92" s="1"/>
      <c r="C92" s="1"/>
      <c r="D92" s="1"/>
      <c r="E92" s="1"/>
      <c r="F92" s="1"/>
      <c r="G92" s="1"/>
      <c r="H92" s="1"/>
      <c r="I92" s="1"/>
      <c r="J92" s="1"/>
      <c r="K92" s="1"/>
      <c r="L92" s="1"/>
      <c r="M92" s="1"/>
      <c r="N92" s="1"/>
      <c r="O92" s="1"/>
      <c r="P92" s="1"/>
      <c r="Q92" s="1"/>
      <c r="R92" s="1"/>
      <c r="S92" s="1"/>
      <c r="T92" s="1"/>
      <c r="U92" s="1"/>
      <c r="V92" s="1"/>
      <c r="W92" s="1"/>
      <c r="X92" s="1"/>
    </row>
    <row r="93" ht="13.5" customHeight="1">
      <c r="A93" s="1"/>
      <c r="B93" s="1"/>
      <c r="C93" s="1"/>
      <c r="D93" s="1"/>
      <c r="E93" s="1"/>
      <c r="F93" s="1"/>
      <c r="G93" s="1"/>
      <c r="H93" s="1"/>
      <c r="I93" s="1"/>
      <c r="J93" s="1"/>
      <c r="K93" s="1"/>
      <c r="L93" s="1"/>
      <c r="M93" s="1"/>
      <c r="N93" s="1"/>
      <c r="O93" s="1"/>
      <c r="P93" s="1"/>
      <c r="Q93" s="1"/>
      <c r="R93" s="1"/>
      <c r="S93" s="1"/>
      <c r="T93" s="1"/>
      <c r="U93" s="1"/>
      <c r="V93" s="1"/>
      <c r="W93" s="1"/>
      <c r="X93" s="1"/>
    </row>
    <row r="94" ht="13.5" customHeight="1">
      <c r="A94" s="1"/>
      <c r="B94" s="1"/>
      <c r="C94" s="1"/>
      <c r="D94" s="1"/>
      <c r="E94" s="1"/>
      <c r="F94" s="1"/>
      <c r="G94" s="1"/>
      <c r="H94" s="1"/>
      <c r="I94" s="1"/>
      <c r="J94" s="1"/>
      <c r="K94" s="1"/>
      <c r="L94" s="1"/>
      <c r="M94" s="1"/>
      <c r="N94" s="1"/>
      <c r="O94" s="1"/>
      <c r="P94" s="1"/>
      <c r="Q94" s="1"/>
      <c r="R94" s="1"/>
      <c r="S94" s="1"/>
      <c r="T94" s="1"/>
      <c r="U94" s="1"/>
      <c r="V94" s="1"/>
      <c r="W94" s="1"/>
      <c r="X94" s="1"/>
    </row>
    <row r="95" ht="13.5" customHeight="1">
      <c r="A95" s="1"/>
      <c r="B95" s="1"/>
      <c r="C95" s="1"/>
      <c r="D95" s="1"/>
      <c r="E95" s="1"/>
      <c r="F95" s="1"/>
      <c r="G95" s="1"/>
      <c r="H95" s="1"/>
      <c r="I95" s="1"/>
      <c r="J95" s="1"/>
      <c r="K95" s="1"/>
      <c r="L95" s="1"/>
      <c r="M95" s="1"/>
      <c r="N95" s="1"/>
      <c r="O95" s="1"/>
      <c r="P95" s="1"/>
      <c r="Q95" s="1"/>
      <c r="R95" s="1"/>
      <c r="S95" s="1"/>
      <c r="T95" s="1"/>
      <c r="U95" s="1"/>
      <c r="V95" s="1"/>
      <c r="W95" s="1"/>
      <c r="X95" s="1"/>
    </row>
    <row r="96" ht="13.5" customHeight="1">
      <c r="A96" s="1"/>
      <c r="B96" s="1"/>
      <c r="C96" s="1"/>
      <c r="D96" s="1"/>
      <c r="E96" s="1"/>
      <c r="F96" s="1"/>
      <c r="G96" s="1"/>
      <c r="H96" s="1"/>
      <c r="I96" s="1"/>
      <c r="J96" s="1"/>
      <c r="K96" s="1"/>
      <c r="L96" s="1"/>
      <c r="M96" s="1"/>
      <c r="N96" s="1"/>
      <c r="O96" s="1"/>
      <c r="P96" s="1"/>
      <c r="Q96" s="1"/>
      <c r="R96" s="1"/>
      <c r="S96" s="1"/>
      <c r="T96" s="1"/>
      <c r="U96" s="1"/>
      <c r="V96" s="1"/>
      <c r="W96" s="1"/>
      <c r="X96" s="1"/>
    </row>
    <row r="97" ht="13.5" customHeight="1">
      <c r="A97" s="1"/>
      <c r="B97" s="1"/>
      <c r="C97" s="1"/>
      <c r="D97" s="1"/>
      <c r="E97" s="1"/>
      <c r="F97" s="1"/>
      <c r="G97" s="1"/>
      <c r="H97" s="1"/>
      <c r="I97" s="1"/>
      <c r="J97" s="1"/>
      <c r="K97" s="1"/>
      <c r="L97" s="1"/>
      <c r="M97" s="1"/>
      <c r="N97" s="1"/>
      <c r="O97" s="1"/>
      <c r="P97" s="1"/>
      <c r="Q97" s="1"/>
      <c r="R97" s="1"/>
      <c r="S97" s="1"/>
      <c r="T97" s="1"/>
      <c r="U97" s="1"/>
      <c r="V97" s="1"/>
      <c r="W97" s="1"/>
      <c r="X97" s="1"/>
    </row>
    <row r="98" ht="13.5" customHeight="1">
      <c r="A98" s="1"/>
      <c r="B98" s="1"/>
      <c r="C98" s="1"/>
      <c r="D98" s="1"/>
      <c r="E98" s="1"/>
      <c r="F98" s="1"/>
      <c r="G98" s="1"/>
      <c r="H98" s="1"/>
      <c r="I98" s="1"/>
      <c r="J98" s="1"/>
      <c r="K98" s="1"/>
      <c r="L98" s="1"/>
      <c r="M98" s="1"/>
      <c r="N98" s="1"/>
      <c r="O98" s="1"/>
      <c r="P98" s="1"/>
      <c r="Q98" s="1"/>
      <c r="R98" s="1"/>
      <c r="S98" s="1"/>
      <c r="T98" s="1"/>
      <c r="U98" s="1"/>
      <c r="V98" s="1"/>
      <c r="W98" s="1"/>
      <c r="X98" s="1"/>
    </row>
    <row r="99" ht="13.5" customHeight="1">
      <c r="A99" s="1"/>
      <c r="B99" s="1"/>
      <c r="C99" s="1"/>
      <c r="D99" s="1"/>
      <c r="E99" s="1"/>
      <c r="F99" s="1"/>
      <c r="G99" s="1"/>
      <c r="H99" s="1"/>
      <c r="I99" s="1"/>
      <c r="J99" s="1"/>
      <c r="K99" s="1"/>
      <c r="L99" s="1"/>
      <c r="M99" s="1"/>
      <c r="N99" s="1"/>
      <c r="O99" s="1"/>
      <c r="P99" s="1"/>
      <c r="Q99" s="1"/>
      <c r="R99" s="1"/>
      <c r="S99" s="1"/>
      <c r="T99" s="1"/>
      <c r="U99" s="1"/>
      <c r="V99" s="1"/>
      <c r="W99" s="1"/>
      <c r="X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row>
    <row r="1002" ht="13.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row>
    <row r="1003" ht="13.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row>
    <row r="1004" ht="13.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row>
    <row r="1005" ht="13.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row>
    <row r="1006" ht="13.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row>
    <row r="1007" ht="13.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75"/>
    <col customWidth="1" min="2" max="2" width="21.0"/>
    <col customWidth="1" min="3" max="3" width="27.5"/>
    <col customWidth="1" min="4" max="4" width="21.5"/>
    <col customWidth="1" min="5" max="5" width="22.25"/>
    <col customWidth="1" min="6" max="6" width="23.13"/>
    <col customWidth="1" min="7" max="7" width="21.75"/>
    <col customWidth="1" min="8" max="8" width="21.63"/>
    <col customWidth="1" min="9" max="9" width="22.38"/>
  </cols>
  <sheetData>
    <row r="3">
      <c r="A3" s="2" t="s">
        <v>1</v>
      </c>
    </row>
    <row r="5" ht="23.25" customHeight="1">
      <c r="B5" s="9" t="s">
        <v>2</v>
      </c>
      <c r="E5" s="13"/>
      <c r="F5" s="6"/>
      <c r="G5" s="6"/>
      <c r="H5" s="1"/>
      <c r="I5" s="1"/>
      <c r="J5" s="1"/>
      <c r="K5" s="1"/>
    </row>
    <row r="6" ht="16.5" customHeight="1">
      <c r="F6" s="19"/>
      <c r="G6" s="6"/>
      <c r="H6" s="1"/>
      <c r="I6" s="1"/>
      <c r="J6" s="1"/>
      <c r="K6" s="1"/>
    </row>
    <row r="7">
      <c r="B7" s="24" t="s">
        <v>12</v>
      </c>
      <c r="C7" s="5"/>
      <c r="D7" s="5"/>
      <c r="E7" s="5"/>
      <c r="F7" s="6"/>
      <c r="G7" s="6"/>
      <c r="H7" s="1"/>
      <c r="I7" s="1"/>
      <c r="J7" s="1"/>
      <c r="K7" s="1"/>
    </row>
    <row r="8">
      <c r="C8" s="1"/>
      <c r="D8" s="1"/>
      <c r="E8" s="1"/>
      <c r="F8" s="1"/>
      <c r="G8" s="1"/>
      <c r="H8" s="1"/>
      <c r="I8" s="1"/>
      <c r="J8" s="1"/>
      <c r="K8" s="1"/>
    </row>
    <row r="9" ht="36.0" customHeight="1">
      <c r="B9" s="34" t="s">
        <v>21</v>
      </c>
      <c r="C9" s="35" t="s">
        <v>22</v>
      </c>
      <c r="D9" s="35" t="s">
        <v>25</v>
      </c>
      <c r="E9" s="35" t="s">
        <v>26</v>
      </c>
      <c r="F9" s="35" t="s">
        <v>27</v>
      </c>
      <c r="G9" s="37" t="s">
        <v>28</v>
      </c>
      <c r="H9" s="38" t="s">
        <v>31</v>
      </c>
      <c r="I9" s="41" t="s">
        <v>32</v>
      </c>
      <c r="J9" s="43"/>
      <c r="K9" s="43"/>
    </row>
    <row r="10" ht="54.75" customHeight="1">
      <c r="B10" s="48">
        <v>1.0</v>
      </c>
      <c r="C10" s="50" t="s">
        <v>35</v>
      </c>
      <c r="D10" s="55">
        <f>COUNTIF(LOG!A:A,"TC-*")</f>
        <v>10</v>
      </c>
      <c r="E10" s="58">
        <f>COUNTIF(LOG!I:I,"Pass")</f>
        <v>9</v>
      </c>
      <c r="F10" s="58">
        <f>COUNTIF(LOG!I:I,"Fail")</f>
        <v>1</v>
      </c>
      <c r="G10" s="63">
        <f>COUNTIF(LOG!L:L,"Pass")</f>
        <v>1</v>
      </c>
      <c r="H10" s="68">
        <f>COUNTIF(LOG!I:I,"Pass")+COUNTIFS(LOG!I:I,"Fail",LOG!L:L,"Pass")</f>
        <v>10</v>
      </c>
      <c r="I10" s="68">
        <f>COUNTIFS(LOG!I:I,"Fail",LOG!L:L,"&lt;&gt;Pass")</f>
        <v>0</v>
      </c>
      <c r="J10" s="43"/>
      <c r="K10" s="43"/>
    </row>
    <row r="11" ht="50.25" customHeight="1">
      <c r="B11" s="48">
        <v>2.0</v>
      </c>
      <c r="C11" s="50" t="s">
        <v>53</v>
      </c>
      <c r="D11" s="74">
        <f>COUNTIF(REGISTER!A:A,"TC-*")</f>
        <v>19</v>
      </c>
      <c r="E11" s="58">
        <f>COUNTIF(REGISTER!I:I,"Pass")</f>
        <v>11</v>
      </c>
      <c r="F11" s="58">
        <f>COUNTIF(REGISTER!I:I,"Fail")</f>
        <v>8</v>
      </c>
      <c r="G11" s="78">
        <f>COUNTIF(REGISTER!L:L,"Pass")</f>
        <v>8</v>
      </c>
      <c r="H11" s="68">
        <f>COUNTIF(REGISTER!I:I,"Pass")+COUNTIFS(REGISTER!I:I,"Fail",REGISTER!L:L,"Pass")</f>
        <v>19</v>
      </c>
      <c r="I11" s="68">
        <f>COUNTIFS(REGISTER!I:I,"Fail",REGISTER!L:L,"&lt;&gt;Pass")</f>
        <v>0</v>
      </c>
      <c r="J11" s="43"/>
      <c r="K11" s="43"/>
    </row>
    <row r="12" ht="51.0" customHeight="1">
      <c r="B12" s="48">
        <v>3.0</v>
      </c>
      <c r="C12" s="50" t="s">
        <v>69</v>
      </c>
      <c r="D12" s="74">
        <f>COUNTIF(BOOKING!A:A,"TC-*")</f>
        <v>9</v>
      </c>
      <c r="E12" s="58">
        <f>COUNTIF(BOOKING!I:I,"Pass")</f>
        <v>7</v>
      </c>
      <c r="F12" s="58">
        <f>COUNTIF(BOOKING!I:I,"Fail")</f>
        <v>2</v>
      </c>
      <c r="G12" s="78">
        <f>COUNTIF(BOOKING!L:L,"Pass")</f>
        <v>1</v>
      </c>
      <c r="H12" s="68">
        <f>COUNTIF(BOOKING!I:I,"Pass")+COUNTIFS(BOOKING!I:I,"Fail",BOOKING!L:L,"Pass")</f>
        <v>8</v>
      </c>
      <c r="I12" s="68">
        <f>COUNTIFS(BOOKING!I:I,"Fail",BOOKING!L:L,"&lt;&gt;Pass")</f>
        <v>1</v>
      </c>
      <c r="J12" s="84"/>
      <c r="K12" s="84"/>
    </row>
    <row r="13" ht="54.0" customHeight="1">
      <c r="B13" s="48">
        <v>4.0</v>
      </c>
      <c r="C13" s="50" t="s">
        <v>82</v>
      </c>
      <c r="D13" s="74">
        <f>COUNTIF(APPOINTMENT!A:A,"TC-*")</f>
        <v>9</v>
      </c>
      <c r="E13" s="58">
        <f>COUNTIF(APPOINTMENT!I:I,"Pass")</f>
        <v>5</v>
      </c>
      <c r="F13" s="58">
        <f>COUNTIF(APPOINTMENT!I:I,"Fail")</f>
        <v>4</v>
      </c>
      <c r="G13" s="58">
        <f>COUNTIF(APPOINTMENT!L:L,"Pass")</f>
        <v>3</v>
      </c>
      <c r="H13" s="89">
        <f>COUNTIF(APPOINTMENT!I:I,"Pass")+COUNTIFS(APPOINTMENT!I:I,"Fail",APPOINTMENT!L:L,"Pass")</f>
        <v>8</v>
      </c>
      <c r="I13" s="89">
        <f>COUNTIFS(APPOINTMENT!I:I,"Fail",APPOINTMENT!L:L,"&lt;&gt;Pass")</f>
        <v>1</v>
      </c>
      <c r="J13" s="84"/>
      <c r="K13" s="84"/>
    </row>
    <row r="14" ht="48.75" customHeight="1">
      <c r="B14" s="48">
        <v>5.0</v>
      </c>
      <c r="C14" s="50" t="s">
        <v>109</v>
      </c>
      <c r="D14" s="74">
        <f>COUNTIF(MEDICAL!A:A,"TC-*")</f>
        <v>9</v>
      </c>
      <c r="E14" s="58">
        <f>COUNTIF(MEDICAL!I:I,"Pass")</f>
        <v>7</v>
      </c>
      <c r="F14" s="58">
        <f>COUNTIF(MEDICAL!I:I,"Fail")</f>
        <v>2</v>
      </c>
      <c r="G14" s="58">
        <f>COUNTIF(MEDICAL!L:L,"Pass")</f>
        <v>2</v>
      </c>
      <c r="H14" s="89">
        <f>COUNTIF(MEDICAL!I:I,"Pass")+COUNTIFS(MEDICAL!I:I,"Fail",MEDICAL!L:L,"Pass")</f>
        <v>9</v>
      </c>
      <c r="I14" s="89">
        <f>COUNTIFS(MEDICAL!I:I,"Fail",MEDICAL!L:L,"&lt;&gt;Pass")</f>
        <v>0</v>
      </c>
      <c r="J14" s="43"/>
      <c r="K14" s="43"/>
    </row>
    <row r="15" ht="49.5" customHeight="1">
      <c r="B15" s="48">
        <v>6.0</v>
      </c>
      <c r="C15" s="50" t="s">
        <v>136</v>
      </c>
      <c r="D15" s="74">
        <f>COUNTIF(DS_ADMIN!A:A,"TC-*")</f>
        <v>20</v>
      </c>
      <c r="E15" s="58">
        <f>COUNTIF(DS_ADMIN!I:I,"Pass")</f>
        <v>13</v>
      </c>
      <c r="F15" s="58">
        <f>COUNTIF(DS_ADMIN!I:I,"Fail")</f>
        <v>7</v>
      </c>
      <c r="G15" s="58">
        <f>COUNTIF(DS_ADMIN!L:L,"Pass")</f>
        <v>6</v>
      </c>
      <c r="H15" s="89">
        <f>COUNTIF(DS_ADMIN!I:I,"Pass")+COUNTIFS(DS_ADMIN!I:I,"Fail",DS_ADMIN!L:L,"Pass")</f>
        <v>19</v>
      </c>
      <c r="I15" s="89">
        <f>COUNTIFS(DS_ADMIN!I:I,"Fail",DS_ADMIN!L:L,"&lt;&gt;Pass")</f>
        <v>1</v>
      </c>
      <c r="J15" s="43"/>
      <c r="K15" s="43"/>
    </row>
    <row r="16" ht="44.25" customHeight="1">
      <c r="B16" s="48">
        <v>7.0</v>
      </c>
      <c r="C16" s="50" t="s">
        <v>151</v>
      </c>
      <c r="D16" s="74">
        <f>COUNTIF(MYAPPOINTMENT!A:A,"TC-*")</f>
        <v>5</v>
      </c>
      <c r="E16" s="58">
        <f>COUNTIF(MYAPPOINTMENT!I:I,"Pass")</f>
        <v>5</v>
      </c>
      <c r="F16" s="58">
        <f>COUNTIF(MYAPPOINTMENT!I:I,"Fail")</f>
        <v>0</v>
      </c>
      <c r="G16" s="58">
        <f>COUNTIF(MYAPPOINTMENT!L:L,"Pass")</f>
        <v>0</v>
      </c>
      <c r="H16" s="89">
        <f>COUNTIF(MYAPPOINTMENT!I:I,"Pass")+COUNTIFS(MYAPPOINTMENT!I:I,"Fail",MYAPPOINTMENT!L:L,"Pass")</f>
        <v>5</v>
      </c>
      <c r="I16" s="89">
        <f>COUNTIFS(MYAPPOINTMENT!I:I,"Fail",MYAPPOINTMENT!L:L,"&lt;&gt;Pass")</f>
        <v>0</v>
      </c>
      <c r="J16" s="43"/>
      <c r="K16" s="43"/>
    </row>
    <row r="17" ht="56.25" customHeight="1">
      <c r="B17" s="48">
        <v>8.0</v>
      </c>
      <c r="C17" s="50" t="s">
        <v>169</v>
      </c>
      <c r="D17" s="74">
        <f>COUNTIF(HISTORY!A:A,"TC-*")</f>
        <v>6</v>
      </c>
      <c r="E17" s="58">
        <f>COUNTIF(HISTORY!I:I,"Pass")</f>
        <v>5</v>
      </c>
      <c r="F17" s="58">
        <f>COUNTIF(HISTORY!I:I,"Fail")</f>
        <v>1</v>
      </c>
      <c r="G17" s="58">
        <f>COUNTIF(HISTORY!L:L,"Pass")</f>
        <v>1</v>
      </c>
      <c r="H17" s="89">
        <f>COUNTIF(HISTORY!I:I,"Pass")+COUNTIFS(HISTORY!I:I,"Fail",HISTORY!L:L,"Pass")</f>
        <v>6</v>
      </c>
      <c r="I17" s="89">
        <f>COUNTIFS(HISTORY!I:I,"Fail",HISTORY!L:L,"&lt;&gt;Pass")</f>
        <v>0</v>
      </c>
      <c r="J17" s="43"/>
      <c r="K17" s="43"/>
    </row>
    <row r="18" ht="59.25" customHeight="1">
      <c r="B18" s="48">
        <v>9.0</v>
      </c>
      <c r="C18" s="50" t="s">
        <v>178</v>
      </c>
      <c r="D18" s="74">
        <f>COUNTIF(WORKSCHEDULE!A:A,"TC-*")</f>
        <v>5</v>
      </c>
      <c r="E18" s="58">
        <f>COUNTIF(WORKSCHEDULE!I:I,"Pass")</f>
        <v>5</v>
      </c>
      <c r="F18" s="58">
        <f>COUNTIF(WORKSCHEDULE!I:I,"Fail")</f>
        <v>0</v>
      </c>
      <c r="G18" s="58">
        <f>COUNTIF(WORKSCHEDULE!L:L,"Pass")</f>
        <v>0</v>
      </c>
      <c r="H18" s="89">
        <f>COUNTIF(WORKSCHEDULE!I:I,"Pass")+COUNTIFS(WORKSCHEDULE!I:I,"Fail",WORKSCHEDULE!L:L,"Pass")</f>
        <v>5</v>
      </c>
      <c r="I18" s="89">
        <f>COUNTIFS(WORKSCHEDULE!I:I,"Fail",WORKSCHEDULE!L:L,"&lt;&gt;Pass")</f>
        <v>0</v>
      </c>
      <c r="J18" s="43"/>
      <c r="K18" s="43"/>
    </row>
    <row r="19" ht="54.0" customHeight="1">
      <c r="B19" s="48">
        <v>10.0</v>
      </c>
      <c r="C19" s="50" t="s">
        <v>179</v>
      </c>
      <c r="D19" s="74">
        <f>COUNTIF(NOTIFICATION!A:A,"TC-*")</f>
        <v>9</v>
      </c>
      <c r="E19" s="58">
        <f>COUNTIF(NOTIFICATION!I:I,"Pass")</f>
        <v>4</v>
      </c>
      <c r="F19" s="58">
        <f>COUNTIF(NOTIFICATION!I:I,"Fail")</f>
        <v>5</v>
      </c>
      <c r="G19" s="58">
        <f>COUNTIF(NOTIFICATION!L:L,"Pass")</f>
        <v>4</v>
      </c>
      <c r="H19" s="89">
        <f>COUNTIF(NOTIFICATION!I:I,"Pass")+COUNTIFS(NOTIFICATION!I:I,"Fail",NOTIFICATION!L:L,"Pass")</f>
        <v>8</v>
      </c>
      <c r="I19" s="89">
        <f>COUNTIFS(NOTIFICATION!I:I,"Fail",NOTIFICATION!L:L,"&lt;&gt;Pass")</f>
        <v>1</v>
      </c>
      <c r="J19" s="43"/>
      <c r="K19" s="43"/>
    </row>
    <row r="20" ht="49.5" customHeight="1">
      <c r="B20" s="48">
        <v>11.0</v>
      </c>
      <c r="C20" s="50" t="s">
        <v>180</v>
      </c>
      <c r="D20" s="74">
        <f>COUNTIF(DOCTOR!A:A,"TC-*")</f>
        <v>4</v>
      </c>
      <c r="E20" s="58">
        <f>COUNTIF(DOCTOR!I:I,"Pass")</f>
        <v>4</v>
      </c>
      <c r="F20" s="58">
        <f>COUNTIF(DOCTOR!I:I,"Fail")</f>
        <v>0</v>
      </c>
      <c r="G20" s="58">
        <f>COUNTIF(DOCTOR!L:L,"Pass")</f>
        <v>0</v>
      </c>
      <c r="H20" s="89">
        <f>COUNTIF(DOCTOR!I:I,"Pass")+COUNTIFS(DOCTOR!I:I,"Fail",DOCTOR!L:L,"Pass")</f>
        <v>4</v>
      </c>
      <c r="I20" s="89">
        <f>COUNTIFS(DOCTOR!I:I,"Fail",DOCTOR!L:L,"&lt;&gt;Pass")</f>
        <v>0</v>
      </c>
      <c r="J20" s="43"/>
      <c r="K20" s="43"/>
    </row>
    <row r="21" ht="51.0" customHeight="1">
      <c r="B21" s="48">
        <v>12.0</v>
      </c>
      <c r="C21" s="50" t="s">
        <v>181</v>
      </c>
      <c r="D21" s="74">
        <f>COUNTIF(SPECIALTY!A:A,"TC-*")</f>
        <v>5</v>
      </c>
      <c r="E21" s="58">
        <f>COUNTIF(SPECIALTY!I:I,"Pass")</f>
        <v>5</v>
      </c>
      <c r="F21" s="58">
        <f>COUNTIF(SPECIALTY!I:I,"Fail")</f>
        <v>0</v>
      </c>
      <c r="G21" s="58">
        <f>COUNTIF(SPECIALTY!L:L,"Pass")</f>
        <v>0</v>
      </c>
      <c r="H21" s="89">
        <f>COUNTIF(SPECIALTY!I:I,"Pass")+COUNTIFS(SPECIALTY!I:I,"Fail",SPECIALTY!L:L,"Pass")</f>
        <v>5</v>
      </c>
      <c r="I21" s="89">
        <f>COUNTIFS(SPECIALTY!I:I,"Fail",SPECIALTY!L:L,"&lt;&gt;Pass")</f>
        <v>0</v>
      </c>
      <c r="J21" s="43"/>
      <c r="K21" s="43"/>
    </row>
    <row r="22" ht="48.75" customHeight="1">
      <c r="B22" s="48">
        <v>13.0</v>
      </c>
      <c r="C22" s="50" t="s">
        <v>183</v>
      </c>
      <c r="D22" s="74">
        <f>COUNTIF(DRUG_CATEGORY!A:A,"TC-*")</f>
        <v>11</v>
      </c>
      <c r="E22" s="58">
        <f>COUNTIF(DRUG_CATEGORY!I:I,"Pass")</f>
        <v>10</v>
      </c>
      <c r="F22" s="58">
        <f>COUNTIF(DRUG_CATEGORY!I:I,"Fail")</f>
        <v>1</v>
      </c>
      <c r="G22" s="58">
        <f>COUNTIF(DRUG_CATEGORY!L:L,"Pass")</f>
        <v>0</v>
      </c>
      <c r="H22" s="89">
        <f>COUNTIF(DRUG_CATEGORY!I:I,"Pass")+COUNTIFS(DRUG_CATEGORY!I:I,"Fail",DRUG_CATEGORY!L:L,"Pass")</f>
        <v>10</v>
      </c>
      <c r="I22" s="89">
        <f>COUNTIFS(DRUG_CATEGORY!I:I,"Fail",DRUG_CATEGORY!L:L,"&lt;&gt;Pass")</f>
        <v>1</v>
      </c>
      <c r="J22" s="43"/>
      <c r="K22" s="43"/>
    </row>
    <row r="23" ht="48.75" customHeight="1">
      <c r="B23" s="48">
        <v>14.0</v>
      </c>
      <c r="C23" s="50" t="s">
        <v>187</v>
      </c>
      <c r="D23" s="115">
        <f>COUNTIF(STAT!A:A,"TC-*")</f>
        <v>4</v>
      </c>
      <c r="E23" s="116">
        <f>COUNTIF(STAT!I:I,"Pass")</f>
        <v>4</v>
      </c>
      <c r="F23" s="116">
        <f>COUNTIF(STAT!I:I,"Fail")</f>
        <v>0</v>
      </c>
      <c r="G23" s="116">
        <f>COUNTIF(STAT!L:L,"Pass")</f>
        <v>0</v>
      </c>
      <c r="H23" s="117">
        <f>COUNTIF(STAT!I:I,"Pass")+COUNTIFS(STAT!I:I,"Fail",STAT!L:L,"Pass")</f>
        <v>4</v>
      </c>
      <c r="I23" s="117">
        <f>COUNTIFS(STAT!I:I,"Fail",STAT!L:L,"&lt;&gt;Pass")</f>
        <v>0</v>
      </c>
      <c r="J23" s="43"/>
      <c r="K23" s="43"/>
    </row>
    <row r="24" ht="56.25" customHeight="1">
      <c r="B24" s="118" t="s">
        <v>188</v>
      </c>
      <c r="C24" s="119"/>
      <c r="D24" s="120">
        <f t="shared" ref="D24:I24" si="1">SUM(D9:D23)</f>
        <v>125</v>
      </c>
      <c r="E24" s="121">
        <f t="shared" si="1"/>
        <v>94</v>
      </c>
      <c r="F24" s="121">
        <f t="shared" si="1"/>
        <v>31</v>
      </c>
      <c r="G24" s="121">
        <f t="shared" si="1"/>
        <v>26</v>
      </c>
      <c r="H24" s="122">
        <f t="shared" si="1"/>
        <v>120</v>
      </c>
      <c r="I24" s="122">
        <f t="shared" si="1"/>
        <v>5</v>
      </c>
      <c r="J24" s="43"/>
      <c r="K24" s="43"/>
    </row>
    <row r="25" ht="29.25" customHeight="1">
      <c r="B25" s="123"/>
      <c r="C25" s="124"/>
      <c r="D25" s="84"/>
      <c r="E25" s="84"/>
      <c r="F25" s="84"/>
      <c r="G25" s="84"/>
      <c r="H25" s="84"/>
      <c r="I25" s="84"/>
      <c r="J25" s="43"/>
      <c r="K25" s="43"/>
    </row>
    <row r="26">
      <c r="B26" s="1"/>
      <c r="C26" s="1"/>
      <c r="D26" s="1"/>
      <c r="E26" s="1"/>
      <c r="F26" s="1"/>
      <c r="G26" s="1"/>
      <c r="H26" s="1"/>
      <c r="I26" s="1"/>
      <c r="J26" s="1"/>
      <c r="K26" s="1"/>
    </row>
    <row r="27">
      <c r="B27" s="1"/>
      <c r="C27" s="1"/>
      <c r="D27" s="1"/>
      <c r="E27" s="1"/>
      <c r="F27" s="1"/>
      <c r="G27" s="1"/>
      <c r="H27" s="1"/>
      <c r="I27" s="1"/>
      <c r="J27" s="1"/>
      <c r="K27" s="1"/>
    </row>
  </sheetData>
  <mergeCells count="2">
    <mergeCell ref="B5:D5"/>
    <mergeCell ref="B24:C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35.63"/>
    <col customWidth="1" min="4" max="6" width="8.88"/>
    <col customWidth="1" min="7" max="7" width="18.88"/>
    <col customWidth="1" min="8" max="26" width="8.88"/>
  </cols>
  <sheetData>
    <row r="1" ht="13.5" customHeight="1">
      <c r="A1" s="3" t="s">
        <v>0</v>
      </c>
      <c r="B1" s="4"/>
      <c r="C1" s="5"/>
      <c r="D1" s="5"/>
      <c r="E1" s="5"/>
      <c r="F1" s="5"/>
      <c r="G1" s="7"/>
    </row>
    <row r="2" ht="14.25" customHeight="1">
      <c r="A2" s="3"/>
      <c r="B2" s="4"/>
      <c r="C2" s="5"/>
      <c r="D2" s="5"/>
      <c r="E2" s="5"/>
      <c r="F2" s="5"/>
      <c r="G2" s="7"/>
    </row>
    <row r="3" ht="13.5" customHeight="1">
      <c r="B3" s="5" t="s">
        <v>4</v>
      </c>
      <c r="C3" s="12" t="s">
        <v>5</v>
      </c>
      <c r="D3" s="5"/>
      <c r="E3" s="5"/>
      <c r="F3" s="5"/>
      <c r="G3" s="7"/>
    </row>
    <row r="4" ht="13.5" customHeight="1">
      <c r="B4" s="5" t="s">
        <v>6</v>
      </c>
      <c r="C4" s="15">
        <v>46257.0</v>
      </c>
      <c r="D4" s="5"/>
      <c r="E4" s="5"/>
      <c r="F4" s="5"/>
      <c r="G4" s="5"/>
    </row>
    <row r="5" ht="13.5" customHeight="1">
      <c r="A5" s="5"/>
      <c r="B5" s="5"/>
      <c r="C5" s="5"/>
      <c r="D5" s="5"/>
      <c r="E5" s="5"/>
      <c r="F5" s="5"/>
      <c r="G5" s="5"/>
    </row>
    <row r="6" ht="13.5" customHeight="1">
      <c r="A6" s="5"/>
      <c r="B6" s="5"/>
      <c r="C6" s="5"/>
      <c r="D6" s="5"/>
      <c r="E6" s="5"/>
      <c r="F6" s="5"/>
      <c r="G6" s="5"/>
    </row>
    <row r="7" ht="13.5" customHeight="1">
      <c r="A7" s="5"/>
      <c r="B7" s="20" t="s">
        <v>9</v>
      </c>
      <c r="C7" s="23" t="s">
        <v>11</v>
      </c>
      <c r="D7" s="25" t="s">
        <v>14</v>
      </c>
      <c r="E7" s="23" t="s">
        <v>15</v>
      </c>
      <c r="F7" s="23" t="s">
        <v>16</v>
      </c>
      <c r="G7" s="30" t="s">
        <v>18</v>
      </c>
    </row>
    <row r="8" ht="19.5" customHeight="1">
      <c r="A8" s="32"/>
      <c r="B8" s="36">
        <f t="shared" ref="B8:B21" si="1">ROW()-7</f>
        <v>1</v>
      </c>
      <c r="C8" s="45" t="str">
        <f>LOG!B4</f>
        <v>AUTH - Login</v>
      </c>
      <c r="D8" s="51">
        <f>COUNTIFS(LOG!A:A,"TC-*",LOG!L:L,"Pass")+COUNTIFS(LOG!A:A,"TC-*",LOG!L:L,"",LOG!I:I,"Pass")</f>
        <v>10</v>
      </c>
      <c r="E8" s="53">
        <f>COUNTIFS(LOG!A:A,"TC-*",LOG!L:L,"Fail")+COUNTIFS(LOG!A:A,"TC-*",LOG!L:L,"",LOG!I:I,"Fail")</f>
        <v>0</v>
      </c>
      <c r="F8" s="53">
        <f>COUNTIFS(LOG!A:A,"TC-*",LOG!L:L,"Pending")+COUNTIFS(LOG!A:A,"TC-*",LOG!L:L,"",LOG!I:I,"Pending")</f>
        <v>0</v>
      </c>
      <c r="G8" s="61">
        <f>COUNTIF(LOG!A:A,"TC-*")</f>
        <v>10</v>
      </c>
      <c r="H8" s="62"/>
      <c r="I8" s="62"/>
      <c r="J8" s="62"/>
      <c r="K8" s="62"/>
      <c r="L8" s="62"/>
      <c r="M8" s="62"/>
      <c r="N8" s="62"/>
      <c r="O8" s="62"/>
      <c r="P8" s="62"/>
      <c r="Q8" s="62"/>
      <c r="R8" s="62"/>
      <c r="S8" s="62"/>
      <c r="T8" s="62"/>
      <c r="U8" s="62"/>
      <c r="V8" s="62"/>
      <c r="W8" s="62"/>
      <c r="X8" s="62"/>
      <c r="Y8" s="62"/>
      <c r="Z8" s="62"/>
    </row>
    <row r="9" ht="18.75" customHeight="1">
      <c r="A9" s="32"/>
      <c r="B9" s="36">
        <f t="shared" si="1"/>
        <v>2</v>
      </c>
      <c r="C9" s="53" t="str">
        <f>REGISTER!B4</f>
        <v>AUTH - Register</v>
      </c>
      <c r="D9" s="51">
        <f>COUNTIFS(REGISTER!A:A,"TC-*",REGISTER!L:L,"Pass")+COUNTIFS(REGISTER!A:A,"TC-*",REGISTER!L:L,"",REGISTER!I:I,"Pass")</f>
        <v>19</v>
      </c>
      <c r="E9" s="53">
        <f>COUNTIFS(REGISTER!A:A,"TC-*",REGISTER!L:L,"Fail")+COUNTIFS(REGISTER!A:A,"TC-*",REGISTER!L:L,"",REGISTER!I:I,"Fail")</f>
        <v>0</v>
      </c>
      <c r="F9" s="53">
        <f>COUNTIFS(REGISTER!A:A,"TC-*",REGISTER!L:L,"Pending")+COUNTIFS(REGISTER!A:A,"TC-*",REGISTER!L:L,"",REGISTER!I:I,"Pending")</f>
        <v>0</v>
      </c>
      <c r="G9" s="61">
        <f>COUNTIF(REGISTER!A:A,"TC-*")</f>
        <v>19</v>
      </c>
      <c r="H9" s="62"/>
      <c r="I9" s="62"/>
      <c r="J9" s="62"/>
      <c r="K9" s="62"/>
      <c r="L9" s="62"/>
      <c r="M9" s="62"/>
      <c r="N9" s="62"/>
      <c r="O9" s="62"/>
      <c r="P9" s="62"/>
      <c r="Q9" s="62"/>
      <c r="R9" s="62"/>
      <c r="S9" s="62"/>
      <c r="T9" s="62"/>
      <c r="U9" s="62"/>
      <c r="V9" s="62"/>
      <c r="W9" s="62"/>
      <c r="X9" s="62"/>
      <c r="Y9" s="62"/>
      <c r="Z9" s="62"/>
    </row>
    <row r="10" ht="31.5" customHeight="1">
      <c r="A10" s="32"/>
      <c r="B10" s="36">
        <f t="shared" si="1"/>
        <v>3</v>
      </c>
      <c r="C10" s="53" t="str">
        <f>BOOKING!B4</f>
        <v>BOOKING - Appointment Booking</v>
      </c>
      <c r="D10" s="51">
        <f>COUNTIFS(BOOKING!A:A,"TC-*",BOOKING!L:L,"Pass")+COUNTIFS(BOOKING!A:A,"TC-*",BOOKING!L:L,"",BOOKING!I:I,"Pass")</f>
        <v>8</v>
      </c>
      <c r="E10" s="53">
        <f>COUNTIFS(BOOKING!A:A,"TC-*",BOOKING!L:L,"Fail")+COUNTIFS(BOOKING!A:A,"TC-*",BOOKING!L:L,"",BOOKING!I:I,"Fail")</f>
        <v>1</v>
      </c>
      <c r="F10" s="53">
        <f>COUNTIFS(BOOKING!A:A,"TC-*",BOOKING!L:L,"Pending")+COUNTIFS(BOOKING!A:A,"TC-*",BOOKING!L:L,"",BOOKING!I:I,"Pending")</f>
        <v>0</v>
      </c>
      <c r="G10" s="61">
        <f>COUNTIF(BOOKING!A:A,"TC-*")</f>
        <v>9</v>
      </c>
      <c r="H10" s="62"/>
      <c r="I10" s="62"/>
      <c r="J10" s="62"/>
      <c r="K10" s="62"/>
      <c r="L10" s="62"/>
      <c r="M10" s="62"/>
      <c r="N10" s="62"/>
      <c r="O10" s="62"/>
      <c r="P10" s="62"/>
      <c r="Q10" s="62"/>
      <c r="R10" s="62"/>
      <c r="S10" s="62"/>
      <c r="T10" s="62"/>
      <c r="U10" s="62"/>
      <c r="V10" s="62"/>
      <c r="W10" s="62"/>
      <c r="X10" s="62"/>
      <c r="Y10" s="62"/>
      <c r="Z10" s="62"/>
    </row>
    <row r="11" ht="30.75" customHeight="1">
      <c r="A11" s="32"/>
      <c r="B11" s="36">
        <f t="shared" si="1"/>
        <v>4</v>
      </c>
      <c r="C11" s="53" t="str">
        <f>APPOINTMENT!B4</f>
        <v>APPOINTMENT - Appointment Management</v>
      </c>
      <c r="D11" s="51">
        <f>COUNTIFS(APPOINTMENT!A:A,"TC-*",APPOINTMENT!L:L,"Pass")+COUNTIFS(APPOINTMENT!A:A,"TC-*",APPOINTMENT!L:L,"",APPOINTMENT!I:I,"Pass")</f>
        <v>8</v>
      </c>
      <c r="E11" s="53">
        <f>COUNTIFS(APPOINTMENT!A:A,"TC-*",APPOINTMENT!L:L,"Fail")+COUNTIFS(APPOINTMENT!A:A,"TC-*",APPOINTMENT!L:L,"",APPOINTMENT!I:I,"Fail")</f>
        <v>1</v>
      </c>
      <c r="F11" s="53">
        <f>COUNTIFS(APPOINTMENT!A:A,"TC-*",APPOINTMENT!L:L,"Pending")+COUNTIFS(APPOINTMENT!A:A,"TC-*",APPOINTMENT!L:L,"",APPOINTMENT!I:I,"Pending")</f>
        <v>0</v>
      </c>
      <c r="G11" s="61">
        <f>COUNTIF(APPOINTMENT!A:A,"TC-*")</f>
        <v>9</v>
      </c>
      <c r="H11" s="62"/>
      <c r="I11" s="62"/>
      <c r="J11" s="62"/>
      <c r="K11" s="62"/>
      <c r="L11" s="62"/>
      <c r="M11" s="62"/>
      <c r="N11" s="62"/>
      <c r="O11" s="62"/>
      <c r="P11" s="62"/>
      <c r="Q11" s="62"/>
      <c r="R11" s="62"/>
      <c r="S11" s="62"/>
      <c r="T11" s="62"/>
      <c r="U11" s="62"/>
      <c r="V11" s="62"/>
      <c r="W11" s="62"/>
      <c r="X11" s="62"/>
      <c r="Y11" s="62"/>
      <c r="Z11" s="62"/>
    </row>
    <row r="12" ht="29.25" customHeight="1">
      <c r="A12" s="32"/>
      <c r="B12" s="36">
        <f t="shared" si="1"/>
        <v>5</v>
      </c>
      <c r="C12" s="53" t="str">
        <f>MEDICAL!B4</f>
        <v>MEDICAL - Medical Record Management</v>
      </c>
      <c r="D12" s="51">
        <f>COUNTIFS(MEDICAL!A:A,"TC-*",MEDICAL!L:L,"Pass")+COUNTIFS(MEDICAL!A:A,"TC-*",MEDICAL!L:L,"",MEDICAL!I:I,"Pass")</f>
        <v>9</v>
      </c>
      <c r="E12" s="53">
        <f>COUNTIFS(MEDICAL!A:A,"TC-*",MEDICAL!L:L,"Fail")+COUNTIFS(MEDICAL!A:A,"TC-*",MEDICAL!L:L,"",MEDICAL!I:I,"Fail")</f>
        <v>0</v>
      </c>
      <c r="F12" s="53">
        <f>COUNTIFS(MEDICAL!A:A,"TC-*",MEDICAL!L:L,"Pending")+COUNTIFS(MEDICAL!A:A,"TC-*",MEDICAL!L:L,"",MEDICAL!I:I,"Pending")</f>
        <v>0</v>
      </c>
      <c r="G12" s="61">
        <f>COUNTIF(MEDICAL!A:A,"TC-*")</f>
        <v>9</v>
      </c>
      <c r="H12" s="62"/>
      <c r="I12" s="62"/>
      <c r="J12" s="62"/>
      <c r="K12" s="62"/>
      <c r="L12" s="62"/>
      <c r="M12" s="62"/>
      <c r="N12" s="62"/>
      <c r="O12" s="62"/>
      <c r="P12" s="62"/>
      <c r="Q12" s="62"/>
      <c r="R12" s="62"/>
      <c r="S12" s="62"/>
      <c r="T12" s="62"/>
      <c r="U12" s="62"/>
      <c r="V12" s="62"/>
      <c r="W12" s="62"/>
      <c r="X12" s="62"/>
      <c r="Y12" s="62"/>
      <c r="Z12" s="62"/>
    </row>
    <row r="13" ht="28.5" customHeight="1">
      <c r="A13" s="32"/>
      <c r="B13" s="36">
        <f t="shared" si="1"/>
        <v>6</v>
      </c>
      <c r="C13" s="53" t="str">
        <f>DS_ADMIN!B4</f>
        <v>SCHEDULE - Doctor Schedule Management</v>
      </c>
      <c r="D13" s="51">
        <f>COUNTIFS(DS_ADMIN!A:A,"TC-*",DS_ADMIN!L:L,"Pass")+COUNTIFS(DS_ADMIN!A:A,"TC-*",DS_ADMIN!L:L,"",DS_ADMIN!I:I,"Pass")</f>
        <v>19</v>
      </c>
      <c r="E13" s="53">
        <f>COUNTIFS(DS_ADMIN!A:A,"TC-*",DS_ADMIN!L:L,"Fail")+COUNTIFS(DS_ADMIN!A:A,"TC-*",DS_ADMIN!L:L,"",DS_ADMIN!I:I,"Fail")</f>
        <v>1</v>
      </c>
      <c r="F13" s="53">
        <f>COUNTIFS(DS_ADMIN!A:A,"TC-*",DS_ADMIN!L:L,"Pending")+COUNTIFS(DS_ADMIN!A:A,"TC-*",DS_ADMIN!L:L,"",DS_ADMIN!I:I,"Pending")</f>
        <v>0</v>
      </c>
      <c r="G13" s="61">
        <f>COUNTIF(DS_ADMIN!A:A,"TC-*")</f>
        <v>20</v>
      </c>
      <c r="H13" s="62"/>
      <c r="I13" s="62"/>
      <c r="J13" s="62"/>
      <c r="K13" s="62"/>
      <c r="L13" s="62"/>
      <c r="M13" s="62"/>
      <c r="N13" s="62"/>
      <c r="O13" s="62"/>
      <c r="P13" s="62"/>
      <c r="Q13" s="62"/>
      <c r="R13" s="62"/>
      <c r="S13" s="62"/>
      <c r="T13" s="62"/>
      <c r="U13" s="62"/>
      <c r="V13" s="62"/>
      <c r="W13" s="62"/>
      <c r="X13" s="62"/>
      <c r="Y13" s="62"/>
      <c r="Z13" s="62"/>
    </row>
    <row r="14" ht="19.5" customHeight="1">
      <c r="A14" s="32"/>
      <c r="B14" s="36">
        <f t="shared" si="1"/>
        <v>7</v>
      </c>
      <c r="C14" s="53" t="str">
        <f>MYAPPOINTMENT!B4</f>
        <v>PATIENT - My Appointments</v>
      </c>
      <c r="D14" s="51">
        <f>COUNTIFS(MYAPPOINTMENT!A:A,"TC-*",MYAPPOINTMENT!L:L,"Pass")+COUNTIFS(MYAPPOINTMENT!A:A,"TC-*",MYAPPOINTMENT!L:L,"",MYAPPOINTMENT!I:I,"Pass")</f>
        <v>5</v>
      </c>
      <c r="E14" s="53">
        <f>COUNTIFS(MYAPPOINTMENT!A:A,"TC-*",MYAPPOINTMENT!L:L,"Fail")+COUNTIFS(MYAPPOINTMENT!A:A,"TC-*",MYAPPOINTMENT!L:L,"",MYAPPOINTMENT!I:I,"Fail")</f>
        <v>0</v>
      </c>
      <c r="F14" s="53">
        <f>COUNTIFS(MYAPPOINTMENT!A:A,"TC-*",MYAPPOINTMENT!L:L,"Pending")+COUNTIFS(MYAPPOINTMENT!A:A,"TC-*",MYAPPOINTMENT!L:L,"",MYAPPOINTMENT!I:I,"Pending")</f>
        <v>0</v>
      </c>
      <c r="G14" s="61">
        <f>COUNTIF(MYAPPOINTMENT!A:A,"TC-*")</f>
        <v>5</v>
      </c>
      <c r="H14" s="62"/>
      <c r="I14" s="62"/>
      <c r="J14" s="62"/>
      <c r="K14" s="62"/>
      <c r="L14" s="62"/>
      <c r="M14" s="62"/>
      <c r="N14" s="62"/>
      <c r="O14" s="62"/>
      <c r="P14" s="62"/>
      <c r="Q14" s="62"/>
      <c r="R14" s="62"/>
      <c r="S14" s="62"/>
      <c r="T14" s="62"/>
      <c r="U14" s="62"/>
      <c r="V14" s="62"/>
      <c r="W14" s="62"/>
      <c r="X14" s="62"/>
      <c r="Y14" s="62"/>
      <c r="Z14" s="62"/>
    </row>
    <row r="15" ht="20.25" customHeight="1">
      <c r="A15" s="32"/>
      <c r="B15" s="36">
        <f t="shared" si="1"/>
        <v>8</v>
      </c>
      <c r="C15" s="53" t="str">
        <f>HISTORY!B4</f>
        <v>MEDICAL - Medical History</v>
      </c>
      <c r="D15" s="51">
        <f>COUNTIFS(HISTORY!A:A,"TC-*",HISTORY!L:L,"Pass")+COUNTIFS(HISTORY!A:A,"TC-*",HISTORY!L:L,"",HISTORY!I:I,"Pass")</f>
        <v>6</v>
      </c>
      <c r="E15" s="53">
        <f>COUNTIFS(HISTORY!A:A,"TC-*",HISTORY!L:L,"Fail")+COUNTIFS(HISTORY!A:A,"TC-*",HISTORY!L:L,"",HISTORY!I:I,"Fail")</f>
        <v>0</v>
      </c>
      <c r="F15" s="53">
        <f>COUNTIFS(HISTORY!A:A,"TC-*",HISTORY!L:L,"Pending")+COUNTIFS(HISTORY!A:A,"TC-*",HISTORY!L:L,"",HISTORY!I:I,"Pending")</f>
        <v>0</v>
      </c>
      <c r="G15" s="61">
        <f>COUNTIF(HISTORY!A:A,"TC-*")</f>
        <v>6</v>
      </c>
      <c r="H15" s="62"/>
      <c r="I15" s="62"/>
      <c r="J15" s="62"/>
      <c r="K15" s="62"/>
      <c r="L15" s="62"/>
      <c r="M15" s="62"/>
      <c r="N15" s="62"/>
      <c r="O15" s="62"/>
      <c r="P15" s="62"/>
      <c r="Q15" s="62"/>
      <c r="R15" s="62"/>
      <c r="S15" s="62"/>
      <c r="T15" s="62"/>
      <c r="U15" s="62"/>
      <c r="V15" s="62"/>
      <c r="W15" s="62"/>
      <c r="X15" s="62"/>
      <c r="Y15" s="62"/>
      <c r="Z15" s="62"/>
    </row>
    <row r="16" ht="28.5" customHeight="1">
      <c r="A16" s="32"/>
      <c r="B16" s="36">
        <f t="shared" si="1"/>
        <v>9</v>
      </c>
      <c r="C16" s="53" t="str">
        <f>WORKSCHEDULE!B4</f>
        <v>SCHEDULE - Doctor Work Schedule</v>
      </c>
      <c r="D16" s="51">
        <f>COUNTIFS(WORKSCHEDULE!A:A,"TC-*",WORKSCHEDULE!L:L,"Pass")+COUNTIFS(WORKSCHEDULE!A:A,"TC-*",WORKSCHEDULE!L:L,"",WORKSCHEDULE!I:I,"Pass")</f>
        <v>5</v>
      </c>
      <c r="E16" s="53">
        <f>COUNTIFS(WORKSCHEDULE!A:A,"TC-*",WORKSCHEDULE!L:L,"Fail")+COUNTIFS(WORKSCHEDULE!A:A,"TC-*",WORKSCHEDULE!L:L,"",WORKSCHEDULE!I:I,"Fail")</f>
        <v>0</v>
      </c>
      <c r="F16" s="53">
        <f>COUNTIFS(WORKSCHEDULE!A:A,"TC-*",WORKSCHEDULE!L:L,"Pending")+COUNTIFS(WORKSCHEDULE!A:A,"TC-*",WORKSCHEDULE!L:L,"",WORKSCHEDULE!I:I,"Pending")</f>
        <v>0</v>
      </c>
      <c r="G16" s="61">
        <f>COUNTIF(WORKSCHEDULE!A:A,"TC-*")</f>
        <v>5</v>
      </c>
      <c r="H16" s="62"/>
      <c r="I16" s="62"/>
      <c r="J16" s="62"/>
      <c r="K16" s="62"/>
      <c r="L16" s="62"/>
      <c r="M16" s="62"/>
      <c r="N16" s="62"/>
      <c r="O16" s="62"/>
      <c r="P16" s="62"/>
      <c r="Q16" s="62"/>
      <c r="R16" s="62"/>
      <c r="S16" s="62"/>
      <c r="T16" s="62"/>
      <c r="U16" s="62"/>
      <c r="V16" s="62"/>
      <c r="W16" s="62"/>
      <c r="X16" s="62"/>
      <c r="Y16" s="62"/>
      <c r="Z16" s="62"/>
    </row>
    <row r="17" ht="27.0" customHeight="1">
      <c r="A17" s="32"/>
      <c r="B17" s="36">
        <f t="shared" si="1"/>
        <v>10</v>
      </c>
      <c r="C17" s="53" t="str">
        <f>NOTIFICATION!B4</f>
        <v>NOTIFICATION - Patient Notifications</v>
      </c>
      <c r="D17" s="51">
        <f>COUNTIFS(NOTIFICATION!A:A,"TC-*",NOTIFICATION!L:L,"Pass")+COUNTIFS(NOTIFICATION!A:A,"TC-*",NOTIFICATION!L:L,"",NOTIFICATION!I:I,"Pass")</f>
        <v>8</v>
      </c>
      <c r="E17" s="53">
        <f>COUNTIFS(NOTIFICATION!A:A,"TC-*",NOTIFICATION!L:L,"Fail")+COUNTIFS(NOTIFICATION!A:A,"TC-*",NOTIFICATION!L:L,"",NOTIFICATION!I:I,"Fail")</f>
        <v>1</v>
      </c>
      <c r="F17" s="53">
        <f>COUNTIFS(NOTIFICATION!A:A,"TC-*",NOTIFICATION!L:L,"Pending")+COUNTIFS(NOTIFICATION!A:A,"TC-*",NOTIFICATION!L:L,"",NOTIFICATION!I:I,"Pending")</f>
        <v>0</v>
      </c>
      <c r="G17" s="61">
        <f>COUNTIF(NOTIFICATION!A:A,"TC-*")</f>
        <v>9</v>
      </c>
      <c r="H17" s="62"/>
      <c r="I17" s="62"/>
      <c r="J17" s="62"/>
      <c r="K17" s="62"/>
      <c r="L17" s="62"/>
      <c r="M17" s="62"/>
      <c r="N17" s="62"/>
      <c r="O17" s="62"/>
      <c r="P17" s="62"/>
      <c r="Q17" s="62"/>
      <c r="R17" s="62"/>
      <c r="S17" s="62"/>
      <c r="T17" s="62"/>
      <c r="U17" s="62"/>
      <c r="V17" s="62"/>
      <c r="W17" s="62"/>
      <c r="X17" s="62"/>
      <c r="Y17" s="62"/>
      <c r="Z17" s="62"/>
    </row>
    <row r="18" ht="36.0" customHeight="1">
      <c r="A18" s="32"/>
      <c r="B18" s="36">
        <f t="shared" si="1"/>
        <v>11</v>
      </c>
      <c r="C18" s="53" t="str">
        <f>DOCTOR!B4</f>
        <v>DOCTOR - Doctor Management</v>
      </c>
      <c r="D18" s="51">
        <f>COUNTIFS(DOCTOR!A:A,"TC-*",DOCTOR!L:L,"Pass")+COUNTIFS(DOCTOR!A:A,"TC-*",DOCTOR!L:L,"",DOCTOR!I:I,"Pass")</f>
        <v>4</v>
      </c>
      <c r="E18" s="53">
        <f>COUNTIFS(DOCTOR!A:A,"TC-*",DOCTOR!L:L,"Fail")+COUNTIFS(DOCTOR!A:A,"TC-*",DOCTOR!L:L,"",DOCTOR!I:I,"Fail")</f>
        <v>0</v>
      </c>
      <c r="F18" s="53">
        <f>COUNTIFS(DOCTOR!A:A,"TC-*",DOCTOR!L:L,"Pending")+COUNTIFS(DOCTOR!A:A,"TC-*",DOCTOR!L:L,"",DOCTOR!I:I,"Pending")</f>
        <v>0</v>
      </c>
      <c r="G18" s="61">
        <f>COUNTIF(DOCTOR!A:A,"TC-*")</f>
        <v>4</v>
      </c>
      <c r="H18" s="62"/>
      <c r="I18" s="62"/>
      <c r="J18" s="62"/>
      <c r="K18" s="62"/>
      <c r="L18" s="62"/>
      <c r="M18" s="62"/>
      <c r="N18" s="62"/>
      <c r="O18" s="62"/>
      <c r="P18" s="62"/>
      <c r="Q18" s="62"/>
      <c r="R18" s="62"/>
      <c r="S18" s="62"/>
      <c r="T18" s="62"/>
      <c r="U18" s="62"/>
      <c r="V18" s="62"/>
      <c r="W18" s="62"/>
      <c r="X18" s="62"/>
      <c r="Y18" s="62"/>
      <c r="Z18" s="62"/>
    </row>
    <row r="19" ht="33.0" customHeight="1">
      <c r="A19" s="32"/>
      <c r="B19" s="36">
        <f t="shared" si="1"/>
        <v>12</v>
      </c>
      <c r="C19" s="53" t="str">
        <f>SPECIALTY!B4</f>
        <v>SPECIALTY - Specialty Management</v>
      </c>
      <c r="D19" s="51">
        <f>COUNTIFS(SPECIALTY!A:A,"TC-*",SPECIALTY!L:L,"Pass")+COUNTIFS(SPECIALTY!A:A,"TC-*",SPECIALTY!L:L,"",SPECIALTY!I:I,"Pass")</f>
        <v>5</v>
      </c>
      <c r="E19" s="53">
        <f>COUNTIFS(SPECIALTY!A:A,"TC-*",SPECIALTY!L:L,"Fail")+COUNTIFS(SPECIALTY!A:A,"TC-*",SPECIALTY!L:L,"",SPECIALTY!I:I,"Fail")</f>
        <v>0</v>
      </c>
      <c r="F19" s="53">
        <f>COUNTIFS(SPECIALTY!A:A,"TC-*",SPECIALTY!L:L,"Pending")+COUNTIFS(SPECIALTY!A:A,"TC-*",SPECIALTY!L:L,"",SPECIALTY!I:I,"Pending")</f>
        <v>0</v>
      </c>
      <c r="G19" s="61">
        <f>COUNTIF(SPECIALTY!A:A,"TC-*")</f>
        <v>5</v>
      </c>
      <c r="H19" s="62"/>
      <c r="I19" s="62"/>
      <c r="J19" s="62"/>
      <c r="K19" s="62"/>
      <c r="L19" s="62"/>
      <c r="M19" s="62"/>
      <c r="N19" s="62"/>
      <c r="O19" s="62"/>
      <c r="P19" s="62"/>
      <c r="Q19" s="62"/>
      <c r="R19" s="62"/>
      <c r="S19" s="62"/>
      <c r="T19" s="62"/>
      <c r="U19" s="62"/>
      <c r="V19" s="62"/>
      <c r="W19" s="62"/>
      <c r="X19" s="62"/>
      <c r="Y19" s="62"/>
      <c r="Z19" s="62"/>
    </row>
    <row r="20" ht="23.25" customHeight="1">
      <c r="A20" s="5"/>
      <c r="B20" s="36">
        <f t="shared" si="1"/>
        <v>13</v>
      </c>
      <c r="C20" s="96" t="str">
        <f>DRUG_CATEGORY!B4</f>
        <v>DRUG - Drug Inventory Management</v>
      </c>
      <c r="D20" s="97">
        <f>COUNTIFS(DRUG_CATEGORY!A:A,"TC-*",DRUG_CATEGORY!L:L,"Pass")+COUNTIFS(DRUG_CATEGORY!A:A,"TC-*",DRUG_CATEGORY!L:L,"",DRUG_CATEGORY!I:I,"Pass")</f>
        <v>10</v>
      </c>
      <c r="E20" s="98">
        <f>COUNTIFS(DRUG_CATEGORY!A:A,"TC-*",DRUG_CATEGORY!L:L,"Fail")+COUNTIFS(DRUG_CATEGORY!A:A,"TC-*",DRUG_CATEGORY!L:L,"",DRUG_CATEGORY!I:I,"Fail")</f>
        <v>1</v>
      </c>
      <c r="F20" s="98">
        <f>COUNTIFS(DRUG_CATEGORY!A:A,"TC-*",DRUG_CATEGORY!L:L,"Pending")+COUNTIFS(DRUG_CATEGORY!A:A,"TC-*",DRUG_CATEGORY!L:L,"",DRUG_CATEGORY!I:I,"Pending")</f>
        <v>0</v>
      </c>
      <c r="G20" s="99">
        <f>COUNTIF(DRUG_CATEGORY!A:A,"TC-*")</f>
        <v>11</v>
      </c>
    </row>
    <row r="21" ht="23.25" customHeight="1">
      <c r="A21" s="5"/>
      <c r="B21" s="36">
        <f t="shared" si="1"/>
        <v>14</v>
      </c>
      <c r="C21" s="100" t="str">
        <f>STAT!B4</f>
        <v>STAT - Statistics and Reporting</v>
      </c>
      <c r="D21" s="101">
        <f>COUNTIFS(STAT!A:A,"TC-*",STAT!L:L,"Pass")+COUNTIFS(STAT!A:A,"TC-*",STAT!L:L,"",STAT!I:I,"Pass")</f>
        <v>4</v>
      </c>
      <c r="E21" s="102">
        <f>COUNTIFS(STAT!A:A,"TC-*",STAT!L:L,"Fail")+COUNTIFS(STAT!A:A,"TC-*",STAT!L:L,"",STAT!I:I,"Fail")</f>
        <v>0</v>
      </c>
      <c r="F21" s="102">
        <f>COUNTIFS(STAT!A:A,"TC-*",STAT!L:L,"Pending")+COUNTIFS(STAT!A:A,"TC-*",STAT!L:L,"",STAT!I:I,"Pending")</f>
        <v>0</v>
      </c>
      <c r="G21" s="103">
        <f>COUNTIF(STAT!A:A,"TC-*")</f>
        <v>4</v>
      </c>
    </row>
    <row r="22" ht="13.5" customHeight="1">
      <c r="A22" s="5"/>
      <c r="B22" s="104"/>
      <c r="C22" s="105" t="s">
        <v>182</v>
      </c>
      <c r="D22" s="106">
        <f t="shared" ref="D22:G22" si="2">SUM(D8:D21)</f>
        <v>120</v>
      </c>
      <c r="E22" s="107">
        <f t="shared" si="2"/>
        <v>5</v>
      </c>
      <c r="F22" s="108">
        <f t="shared" si="2"/>
        <v>0</v>
      </c>
      <c r="G22" s="109">
        <f t="shared" si="2"/>
        <v>125</v>
      </c>
    </row>
    <row r="23" ht="13.5" customHeight="1">
      <c r="A23" s="5"/>
      <c r="B23" s="110"/>
      <c r="C23" s="5"/>
      <c r="D23" s="111"/>
      <c r="E23" s="112"/>
      <c r="F23" s="112"/>
      <c r="G23" s="112"/>
    </row>
    <row r="24" ht="13.5" customHeight="1">
      <c r="A24" s="5"/>
      <c r="B24" s="5"/>
      <c r="C24" s="5" t="s">
        <v>184</v>
      </c>
      <c r="D24" s="5"/>
      <c r="E24" s="113">
        <f>(D22+E22)*100/G22</f>
        <v>100</v>
      </c>
      <c r="F24" s="5" t="s">
        <v>185</v>
      </c>
      <c r="G24" s="114"/>
    </row>
    <row r="25" ht="13.5" customHeight="1">
      <c r="A25" s="5"/>
      <c r="B25" s="5"/>
      <c r="C25" s="5" t="s">
        <v>186</v>
      </c>
      <c r="D25" s="5"/>
      <c r="E25" s="113">
        <f>D22*100/G22</f>
        <v>96</v>
      </c>
      <c r="F25" s="5" t="s">
        <v>185</v>
      </c>
      <c r="G25" s="114"/>
    </row>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sheetData>
  <printOptions/>
  <pageMargins bottom="1.0" footer="0.0" header="0.0" left="0.75" right="0.75" top="1.0"/>
  <pageSetup orientation="landscape"/>
  <headerFooter>
    <oddFooter>&amp;L 02ae-BM/PM/HDCV/FSOFT v1/0</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20</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24</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9.0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1.0</v>
      </c>
      <c r="C7" s="52" t="s">
        <v>36</v>
      </c>
      <c r="D7" s="49">
        <v>10.0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56"/>
      <c r="D11" s="56"/>
      <c r="E11" s="56"/>
      <c r="F11" s="56"/>
      <c r="G11" s="27"/>
      <c r="H11" s="27"/>
      <c r="I11" s="27"/>
      <c r="J11" s="27"/>
      <c r="K11" s="27"/>
      <c r="L11" s="27"/>
      <c r="M11" s="27"/>
      <c r="N11" s="14"/>
      <c r="O11" s="14"/>
      <c r="P11" s="14"/>
      <c r="Q11" s="14"/>
      <c r="R11" s="14"/>
      <c r="S11" s="14"/>
      <c r="T11" s="14"/>
      <c r="U11" s="14"/>
      <c r="V11" s="14"/>
      <c r="W11" s="14"/>
      <c r="X11" s="14"/>
      <c r="Y11" s="14"/>
      <c r="Z11" s="14"/>
      <c r="AA11" s="14"/>
    </row>
    <row r="12">
      <c r="A12" s="79" t="s">
        <v>61</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62.25" customHeight="1">
      <c r="A13" s="80" t="s">
        <v>64</v>
      </c>
      <c r="B13" s="81" t="s">
        <v>66</v>
      </c>
      <c r="C13" s="82" t="s">
        <v>70</v>
      </c>
      <c r="D13" s="83" t="s">
        <v>71</v>
      </c>
      <c r="E13" s="27"/>
      <c r="F13" s="27"/>
      <c r="G13" s="85" t="s">
        <v>72</v>
      </c>
      <c r="H13" s="86">
        <v>46213.0</v>
      </c>
      <c r="I13" s="80" t="s">
        <v>14</v>
      </c>
      <c r="J13" s="82" t="s">
        <v>83</v>
      </c>
      <c r="K13" s="87"/>
      <c r="L13" s="14"/>
      <c r="M13" s="88"/>
      <c r="N13" s="14"/>
      <c r="O13" s="14"/>
      <c r="P13" s="14"/>
      <c r="Q13" s="14"/>
      <c r="R13" s="14"/>
      <c r="S13" s="14"/>
      <c r="T13" s="14"/>
      <c r="U13" s="14"/>
      <c r="V13" s="14"/>
      <c r="W13" s="14"/>
      <c r="X13" s="14"/>
      <c r="Y13" s="14"/>
      <c r="Z13" s="14"/>
      <c r="AA13" s="14"/>
    </row>
    <row r="14">
      <c r="A14" s="80" t="s">
        <v>89</v>
      </c>
      <c r="B14" s="81" t="s">
        <v>90</v>
      </c>
      <c r="C14" s="82" t="s">
        <v>91</v>
      </c>
      <c r="D14" s="83" t="s">
        <v>92</v>
      </c>
      <c r="E14" s="27"/>
      <c r="F14" s="27"/>
      <c r="G14" s="85" t="s">
        <v>94</v>
      </c>
      <c r="H14" s="86">
        <v>46213.0</v>
      </c>
      <c r="I14" s="80" t="s">
        <v>15</v>
      </c>
      <c r="J14" s="82" t="s">
        <v>99</v>
      </c>
      <c r="K14" s="86">
        <v>46213.0</v>
      </c>
      <c r="L14" s="80" t="s">
        <v>14</v>
      </c>
      <c r="M14" s="85" t="s">
        <v>100</v>
      </c>
      <c r="N14" s="14"/>
      <c r="O14" s="14"/>
      <c r="P14" s="14"/>
      <c r="Q14" s="14"/>
      <c r="R14" s="14"/>
      <c r="S14" s="14"/>
      <c r="T14" s="14"/>
      <c r="U14" s="14"/>
      <c r="V14" s="14"/>
      <c r="W14" s="14"/>
      <c r="X14" s="14"/>
      <c r="Y14" s="14"/>
      <c r="Z14" s="14"/>
      <c r="AA14" s="14"/>
    </row>
    <row r="15">
      <c r="A15" s="79" t="s">
        <v>107</v>
      </c>
      <c r="B15" s="27"/>
      <c r="C15" s="27"/>
      <c r="D15" s="27"/>
      <c r="E15" s="27"/>
      <c r="F15" s="27"/>
      <c r="G15" s="27"/>
      <c r="H15" s="27"/>
      <c r="I15" s="27"/>
      <c r="J15" s="27"/>
      <c r="K15" s="27"/>
      <c r="L15" s="27"/>
      <c r="M15" s="28"/>
      <c r="N15" s="14"/>
      <c r="O15" s="14"/>
      <c r="P15" s="14"/>
      <c r="Q15" s="14"/>
      <c r="R15" s="14"/>
      <c r="S15" s="14"/>
      <c r="T15" s="14"/>
      <c r="U15" s="14"/>
      <c r="V15" s="14"/>
      <c r="W15" s="14"/>
      <c r="X15" s="14"/>
      <c r="Y15" s="14"/>
      <c r="Z15" s="14"/>
      <c r="AA15" s="14"/>
    </row>
    <row r="16" ht="60.0" customHeight="1">
      <c r="A16" s="80" t="s">
        <v>112</v>
      </c>
      <c r="B16" s="81" t="s">
        <v>113</v>
      </c>
      <c r="C16" s="82" t="s">
        <v>114</v>
      </c>
      <c r="D16" s="83" t="s">
        <v>115</v>
      </c>
      <c r="E16" s="27"/>
      <c r="F16" s="27"/>
      <c r="G16" s="85" t="s">
        <v>118</v>
      </c>
      <c r="H16" s="86">
        <v>46213.0</v>
      </c>
      <c r="I16" s="80" t="s">
        <v>14</v>
      </c>
      <c r="J16" s="82" t="s">
        <v>125</v>
      </c>
      <c r="K16" s="87"/>
      <c r="L16" s="87"/>
      <c r="M16" s="88"/>
      <c r="N16" s="14"/>
      <c r="O16" s="14"/>
      <c r="P16" s="14"/>
      <c r="Q16" s="14"/>
      <c r="R16" s="14"/>
      <c r="S16" s="14"/>
      <c r="T16" s="14"/>
      <c r="U16" s="14"/>
      <c r="V16" s="14"/>
      <c r="W16" s="14"/>
      <c r="X16" s="14"/>
      <c r="Y16" s="14"/>
      <c r="Z16" s="14"/>
      <c r="AA16" s="14"/>
    </row>
    <row r="17" ht="60.0" customHeight="1">
      <c r="A17" s="80" t="s">
        <v>126</v>
      </c>
      <c r="B17" s="81" t="s">
        <v>127</v>
      </c>
      <c r="C17" s="82" t="s">
        <v>129</v>
      </c>
      <c r="D17" s="83" t="s">
        <v>132</v>
      </c>
      <c r="E17" s="27"/>
      <c r="F17" s="27"/>
      <c r="G17" s="85" t="s">
        <v>133</v>
      </c>
      <c r="H17" s="86">
        <v>46213.0</v>
      </c>
      <c r="I17" s="80" t="s">
        <v>14</v>
      </c>
      <c r="J17" s="82" t="s">
        <v>138</v>
      </c>
      <c r="K17" s="87"/>
      <c r="L17" s="87"/>
      <c r="M17" s="88"/>
      <c r="N17" s="14"/>
      <c r="O17" s="14"/>
      <c r="P17" s="14"/>
      <c r="Q17" s="14"/>
      <c r="R17" s="14"/>
      <c r="S17" s="14"/>
      <c r="T17" s="14"/>
      <c r="U17" s="14"/>
      <c r="V17" s="14"/>
      <c r="W17" s="14"/>
      <c r="X17" s="14"/>
      <c r="Y17" s="14"/>
      <c r="Z17" s="14"/>
      <c r="AA17" s="14"/>
    </row>
    <row r="18">
      <c r="A18" s="80" t="s">
        <v>139</v>
      </c>
      <c r="B18" s="81" t="s">
        <v>140</v>
      </c>
      <c r="C18" s="82" t="s">
        <v>141</v>
      </c>
      <c r="D18" s="83" t="s">
        <v>142</v>
      </c>
      <c r="E18" s="27"/>
      <c r="F18" s="27"/>
      <c r="G18" s="85" t="s">
        <v>143</v>
      </c>
      <c r="H18" s="86">
        <v>46213.0</v>
      </c>
      <c r="I18" s="80" t="s">
        <v>14</v>
      </c>
      <c r="J18" s="82" t="s">
        <v>144</v>
      </c>
      <c r="K18" s="87"/>
      <c r="L18" s="87"/>
      <c r="M18" s="88"/>
      <c r="N18" s="14"/>
      <c r="O18" s="14"/>
      <c r="P18" s="14"/>
      <c r="Q18" s="14"/>
      <c r="R18" s="14"/>
      <c r="S18" s="14"/>
      <c r="T18" s="14"/>
      <c r="U18" s="14"/>
      <c r="V18" s="14"/>
      <c r="W18" s="14"/>
      <c r="X18" s="14"/>
      <c r="Y18" s="14"/>
      <c r="Z18" s="14"/>
      <c r="AA18" s="14"/>
    </row>
    <row r="19">
      <c r="A19" s="79" t="s">
        <v>145</v>
      </c>
      <c r="B19" s="27"/>
      <c r="C19" s="27"/>
      <c r="D19" s="27"/>
      <c r="E19" s="27"/>
      <c r="F19" s="27"/>
      <c r="G19" s="27"/>
      <c r="H19" s="27"/>
      <c r="I19" s="27"/>
      <c r="J19" s="27"/>
      <c r="K19" s="27"/>
      <c r="L19" s="27"/>
      <c r="M19" s="28"/>
      <c r="N19" s="14"/>
      <c r="O19" s="14"/>
      <c r="P19" s="14"/>
      <c r="Q19" s="14"/>
      <c r="R19" s="14"/>
      <c r="S19" s="14"/>
      <c r="T19" s="14"/>
      <c r="U19" s="14"/>
      <c r="V19" s="14"/>
      <c r="W19" s="14"/>
      <c r="X19" s="14"/>
      <c r="Y19" s="14"/>
      <c r="Z19" s="14"/>
      <c r="AA19" s="14"/>
    </row>
    <row r="20" ht="60.0" customHeight="1">
      <c r="A20" s="80" t="s">
        <v>146</v>
      </c>
      <c r="B20" s="81" t="s">
        <v>147</v>
      </c>
      <c r="C20" s="82" t="s">
        <v>148</v>
      </c>
      <c r="D20" s="83" t="s">
        <v>149</v>
      </c>
      <c r="E20" s="27"/>
      <c r="F20" s="27"/>
      <c r="G20" s="85" t="s">
        <v>150</v>
      </c>
      <c r="H20" s="86">
        <v>46213.0</v>
      </c>
      <c r="I20" s="80" t="s">
        <v>14</v>
      </c>
      <c r="J20" s="82" t="s">
        <v>152</v>
      </c>
      <c r="K20" s="87"/>
      <c r="L20" s="87"/>
      <c r="M20" s="88"/>
      <c r="N20" s="14"/>
      <c r="O20" s="14"/>
      <c r="P20" s="14"/>
      <c r="Q20" s="14"/>
      <c r="R20" s="14"/>
      <c r="S20" s="14"/>
      <c r="T20" s="14"/>
      <c r="U20" s="14"/>
      <c r="V20" s="14"/>
      <c r="W20" s="14"/>
      <c r="X20" s="14"/>
      <c r="Y20" s="14"/>
      <c r="Z20" s="14"/>
      <c r="AA20" s="14"/>
    </row>
    <row r="21" ht="61.5" customHeight="1">
      <c r="A21" s="80" t="s">
        <v>153</v>
      </c>
      <c r="B21" s="81" t="s">
        <v>154</v>
      </c>
      <c r="C21" s="82" t="s">
        <v>155</v>
      </c>
      <c r="D21" s="83" t="s">
        <v>149</v>
      </c>
      <c r="E21" s="27"/>
      <c r="F21" s="27"/>
      <c r="G21" s="85" t="s">
        <v>156</v>
      </c>
      <c r="H21" s="86">
        <v>46213.0</v>
      </c>
      <c r="I21" s="80" t="s">
        <v>14</v>
      </c>
      <c r="J21" s="82" t="s">
        <v>157</v>
      </c>
      <c r="K21" s="87"/>
      <c r="L21" s="87"/>
      <c r="M21" s="88"/>
      <c r="N21" s="14"/>
      <c r="O21" s="14"/>
      <c r="P21" s="14"/>
      <c r="Q21" s="14"/>
      <c r="R21" s="14"/>
      <c r="S21" s="14"/>
      <c r="T21" s="14"/>
      <c r="U21" s="14"/>
      <c r="V21" s="14"/>
      <c r="W21" s="14"/>
      <c r="X21" s="14"/>
      <c r="Y21" s="14"/>
      <c r="Z21" s="14"/>
      <c r="AA21" s="14"/>
    </row>
    <row r="22">
      <c r="A22" s="79" t="s">
        <v>158</v>
      </c>
      <c r="B22" s="27"/>
      <c r="C22" s="27"/>
      <c r="D22" s="27"/>
      <c r="E22" s="27"/>
      <c r="F22" s="27"/>
      <c r="G22" s="27"/>
      <c r="H22" s="27"/>
      <c r="I22" s="27"/>
      <c r="J22" s="27"/>
      <c r="K22" s="27"/>
      <c r="L22" s="27"/>
      <c r="M22" s="28"/>
      <c r="N22" s="14"/>
      <c r="O22" s="14"/>
      <c r="P22" s="14"/>
      <c r="Q22" s="14"/>
      <c r="R22" s="14"/>
      <c r="S22" s="14"/>
      <c r="T22" s="14"/>
      <c r="U22" s="14"/>
      <c r="V22" s="14"/>
      <c r="W22" s="14"/>
      <c r="X22" s="14"/>
      <c r="Y22" s="14"/>
      <c r="Z22" s="14"/>
      <c r="AA22" s="14"/>
    </row>
    <row r="23">
      <c r="A23" s="80" t="s">
        <v>159</v>
      </c>
      <c r="B23" s="81" t="s">
        <v>160</v>
      </c>
      <c r="C23" s="82" t="s">
        <v>161</v>
      </c>
      <c r="D23" s="83" t="s">
        <v>162</v>
      </c>
      <c r="E23" s="27"/>
      <c r="F23" s="27"/>
      <c r="G23" s="85" t="s">
        <v>163</v>
      </c>
      <c r="H23" s="86">
        <v>46213.0</v>
      </c>
      <c r="I23" s="80" t="s">
        <v>14</v>
      </c>
      <c r="J23" s="82" t="s">
        <v>164</v>
      </c>
      <c r="K23" s="87"/>
      <c r="L23" s="87"/>
      <c r="M23" s="88"/>
      <c r="N23" s="14"/>
      <c r="O23" s="14"/>
      <c r="P23" s="14"/>
      <c r="Q23" s="14"/>
      <c r="R23" s="14"/>
      <c r="S23" s="14"/>
      <c r="T23" s="14"/>
      <c r="U23" s="14"/>
      <c r="V23" s="14"/>
      <c r="W23" s="14"/>
      <c r="X23" s="14"/>
      <c r="Y23" s="14"/>
      <c r="Z23" s="14"/>
      <c r="AA23" s="14"/>
    </row>
    <row r="24" ht="63.0" customHeight="1">
      <c r="A24" s="80" t="s">
        <v>165</v>
      </c>
      <c r="B24" s="81" t="s">
        <v>166</v>
      </c>
      <c r="C24" s="82" t="s">
        <v>167</v>
      </c>
      <c r="D24" s="83" t="s">
        <v>168</v>
      </c>
      <c r="E24" s="27"/>
      <c r="F24" s="27"/>
      <c r="G24" s="85" t="s">
        <v>170</v>
      </c>
      <c r="H24" s="86">
        <v>46213.0</v>
      </c>
      <c r="I24" s="80" t="s">
        <v>14</v>
      </c>
      <c r="J24" s="82" t="s">
        <v>171</v>
      </c>
      <c r="K24" s="87"/>
      <c r="L24" s="87"/>
      <c r="M24" s="88"/>
    </row>
    <row r="25" ht="54.0" customHeight="1">
      <c r="A25" s="80" t="s">
        <v>172</v>
      </c>
      <c r="B25" s="81" t="s">
        <v>173</v>
      </c>
      <c r="C25" s="82" t="s">
        <v>174</v>
      </c>
      <c r="D25" s="83" t="s">
        <v>175</v>
      </c>
      <c r="E25" s="27"/>
      <c r="F25" s="27"/>
      <c r="G25" s="85" t="s">
        <v>176</v>
      </c>
      <c r="H25" s="86">
        <v>46213.0</v>
      </c>
      <c r="I25" s="80" t="s">
        <v>14</v>
      </c>
      <c r="J25" s="82" t="s">
        <v>177</v>
      </c>
      <c r="K25" s="87"/>
      <c r="L25" s="87"/>
      <c r="M25" s="88"/>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88"/>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D14:F14"/>
    <mergeCell ref="A15:M15"/>
    <mergeCell ref="D16:F16"/>
    <mergeCell ref="D24:F24"/>
    <mergeCell ref="D25:F25"/>
    <mergeCell ref="D17:F17"/>
    <mergeCell ref="D18:F18"/>
    <mergeCell ref="A19:M19"/>
    <mergeCell ref="D20:F20"/>
    <mergeCell ref="D21:F21"/>
    <mergeCell ref="A22:M22"/>
    <mergeCell ref="D23:F23"/>
  </mergeCells>
  <hyperlinks>
    <hyperlink r:id="rId1" ref="G13"/>
    <hyperlink r:id="rId2" ref="G14"/>
    <hyperlink r:id="rId3" ref="M14"/>
    <hyperlink r:id="rId4" ref="G16"/>
    <hyperlink r:id="rId5" ref="G17"/>
    <hyperlink r:id="rId6" ref="G18"/>
    <hyperlink r:id="rId7" ref="G20"/>
    <hyperlink r:id="rId8" ref="G21"/>
    <hyperlink r:id="rId9" ref="G23"/>
    <hyperlink r:id="rId10" ref="G24"/>
    <hyperlink r:id="rId11" ref="G25"/>
  </hyperlinks>
  <drawing r:id="rId1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2.38"/>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26" t="s">
        <v>189</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190</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12.0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7.0</v>
      </c>
      <c r="C7" s="52" t="s">
        <v>36</v>
      </c>
      <c r="D7" s="49">
        <v>19.0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56"/>
      <c r="D11" s="56"/>
      <c r="E11" s="56"/>
      <c r="F11" s="56"/>
      <c r="G11" s="27"/>
      <c r="H11" s="27"/>
      <c r="I11" s="27"/>
      <c r="J11" s="27"/>
      <c r="K11" s="27"/>
      <c r="L11" s="27"/>
      <c r="M11" s="27"/>
      <c r="N11" s="14"/>
      <c r="O11" s="14"/>
      <c r="P11" s="14"/>
      <c r="Q11" s="14"/>
      <c r="R11" s="14"/>
      <c r="S11" s="14"/>
      <c r="T11" s="14"/>
      <c r="U11" s="14"/>
      <c r="V11" s="14"/>
      <c r="W11" s="14"/>
      <c r="X11" s="14"/>
      <c r="Y11" s="14"/>
      <c r="Z11" s="14"/>
      <c r="AA11" s="14"/>
    </row>
    <row r="12">
      <c r="A12" s="79" t="s">
        <v>61</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26.75" customHeight="1">
      <c r="A13" s="80" t="s">
        <v>191</v>
      </c>
      <c r="B13" s="81" t="s">
        <v>192</v>
      </c>
      <c r="C13" s="82" t="s">
        <v>193</v>
      </c>
      <c r="D13" s="83" t="s">
        <v>194</v>
      </c>
      <c r="E13" s="27"/>
      <c r="F13" s="27"/>
      <c r="G13" s="85" t="s">
        <v>195</v>
      </c>
      <c r="H13" s="86">
        <v>46218.0</v>
      </c>
      <c r="I13" s="80" t="s">
        <v>14</v>
      </c>
      <c r="J13" s="82" t="s">
        <v>196</v>
      </c>
      <c r="K13" s="87"/>
      <c r="L13" s="14"/>
      <c r="M13" s="88"/>
      <c r="N13" s="14"/>
      <c r="O13" s="14"/>
      <c r="P13" s="14"/>
      <c r="Q13" s="14"/>
      <c r="R13" s="14"/>
      <c r="S13" s="14"/>
      <c r="T13" s="14"/>
      <c r="U13" s="14"/>
      <c r="V13" s="14"/>
      <c r="W13" s="14"/>
      <c r="X13" s="14"/>
      <c r="Y13" s="14"/>
      <c r="Z13" s="14"/>
      <c r="AA13" s="14"/>
    </row>
    <row r="14">
      <c r="A14" s="79" t="s">
        <v>107</v>
      </c>
      <c r="B14" s="27"/>
      <c r="C14" s="27"/>
      <c r="D14" s="27"/>
      <c r="E14" s="27"/>
      <c r="F14" s="27"/>
      <c r="G14" s="27"/>
      <c r="H14" s="27"/>
      <c r="I14" s="27"/>
      <c r="J14" s="27"/>
      <c r="K14" s="27"/>
      <c r="L14" s="27"/>
      <c r="M14" s="28"/>
      <c r="N14" s="14"/>
      <c r="O14" s="14"/>
      <c r="P14" s="14"/>
      <c r="Q14" s="14"/>
      <c r="R14" s="14"/>
      <c r="S14" s="14"/>
      <c r="T14" s="14"/>
      <c r="U14" s="14"/>
      <c r="V14" s="14"/>
      <c r="W14" s="14"/>
      <c r="X14" s="14"/>
      <c r="Y14" s="14"/>
      <c r="Z14" s="14"/>
      <c r="AA14" s="14"/>
    </row>
    <row r="15">
      <c r="A15" s="80" t="s">
        <v>197</v>
      </c>
      <c r="B15" s="81" t="s">
        <v>198</v>
      </c>
      <c r="C15" s="82" t="s">
        <v>199</v>
      </c>
      <c r="D15" s="83" t="s">
        <v>200</v>
      </c>
      <c r="E15" s="27"/>
      <c r="F15" s="27"/>
      <c r="G15" s="85" t="s">
        <v>202</v>
      </c>
      <c r="H15" s="86">
        <v>46218.0</v>
      </c>
      <c r="I15" s="80" t="s">
        <v>14</v>
      </c>
      <c r="J15" s="82" t="s">
        <v>204</v>
      </c>
      <c r="K15" s="86"/>
      <c r="L15" s="80"/>
      <c r="M15" s="82"/>
      <c r="N15" s="14"/>
      <c r="O15" s="14"/>
      <c r="P15" s="14"/>
      <c r="Q15" s="14"/>
      <c r="R15" s="14"/>
      <c r="S15" s="14"/>
      <c r="T15" s="14"/>
      <c r="U15" s="14"/>
      <c r="V15" s="14"/>
      <c r="W15" s="14"/>
      <c r="X15" s="14"/>
      <c r="Y15" s="14"/>
      <c r="Z15" s="14"/>
      <c r="AA15" s="14"/>
    </row>
    <row r="16" ht="60.0" customHeight="1">
      <c r="A16" s="80" t="s">
        <v>205</v>
      </c>
      <c r="B16" s="81" t="s">
        <v>206</v>
      </c>
      <c r="C16" s="82" t="s">
        <v>207</v>
      </c>
      <c r="D16" s="83" t="s">
        <v>208</v>
      </c>
      <c r="E16" s="27"/>
      <c r="F16" s="27"/>
      <c r="G16" s="85" t="s">
        <v>209</v>
      </c>
      <c r="H16" s="86">
        <v>46218.0</v>
      </c>
      <c r="I16" s="80" t="s">
        <v>14</v>
      </c>
      <c r="J16" s="82" t="s">
        <v>208</v>
      </c>
      <c r="K16" s="87"/>
      <c r="L16" s="87"/>
      <c r="M16" s="88"/>
      <c r="N16" s="14"/>
      <c r="O16" s="14"/>
      <c r="P16" s="14"/>
      <c r="Q16" s="14"/>
      <c r="R16" s="14"/>
      <c r="S16" s="14"/>
      <c r="T16" s="14"/>
      <c r="U16" s="14"/>
      <c r="V16" s="14"/>
      <c r="W16" s="14"/>
      <c r="X16" s="14"/>
      <c r="Y16" s="14"/>
      <c r="Z16" s="14"/>
      <c r="AA16" s="14"/>
    </row>
    <row r="17" ht="60.0" customHeight="1">
      <c r="A17" s="80" t="s">
        <v>210</v>
      </c>
      <c r="B17" s="81" t="s">
        <v>211</v>
      </c>
      <c r="C17" s="82" t="s">
        <v>212</v>
      </c>
      <c r="D17" s="83" t="s">
        <v>213</v>
      </c>
      <c r="E17" s="27"/>
      <c r="F17" s="27"/>
      <c r="G17" s="85" t="s">
        <v>214</v>
      </c>
      <c r="H17" s="86">
        <v>46218.0</v>
      </c>
      <c r="I17" s="80" t="s">
        <v>14</v>
      </c>
      <c r="J17" s="82" t="s">
        <v>213</v>
      </c>
      <c r="K17" s="87"/>
      <c r="L17" s="87"/>
      <c r="M17" s="88"/>
      <c r="N17" s="14"/>
      <c r="O17" s="14"/>
      <c r="P17" s="14"/>
      <c r="Q17" s="14"/>
      <c r="R17" s="14"/>
      <c r="S17" s="14"/>
      <c r="T17" s="14"/>
      <c r="U17" s="14"/>
      <c r="V17" s="14"/>
      <c r="W17" s="14"/>
      <c r="X17" s="14"/>
      <c r="Y17" s="14"/>
      <c r="Z17" s="14"/>
      <c r="AA17" s="14"/>
    </row>
    <row r="18">
      <c r="A18" s="80" t="s">
        <v>215</v>
      </c>
      <c r="B18" s="81" t="s">
        <v>216</v>
      </c>
      <c r="C18" s="82" t="s">
        <v>217</v>
      </c>
      <c r="D18" s="83" t="s">
        <v>218</v>
      </c>
      <c r="E18" s="27"/>
      <c r="F18" s="27"/>
      <c r="G18" s="85" t="s">
        <v>219</v>
      </c>
      <c r="H18" s="86">
        <v>46218.0</v>
      </c>
      <c r="I18" s="80" t="s">
        <v>14</v>
      </c>
      <c r="J18" s="82" t="s">
        <v>218</v>
      </c>
      <c r="K18" s="87"/>
      <c r="L18" s="87"/>
      <c r="M18" s="88"/>
      <c r="N18" s="14"/>
      <c r="O18" s="14"/>
      <c r="P18" s="14"/>
      <c r="Q18" s="14"/>
      <c r="R18" s="14"/>
      <c r="S18" s="14"/>
      <c r="T18" s="14"/>
      <c r="U18" s="14"/>
      <c r="V18" s="14"/>
      <c r="W18" s="14"/>
      <c r="X18" s="14"/>
      <c r="Y18" s="14"/>
      <c r="Z18" s="14"/>
      <c r="AA18" s="14"/>
    </row>
    <row r="19">
      <c r="A19" s="80" t="s">
        <v>220</v>
      </c>
      <c r="B19" s="81" t="s">
        <v>221</v>
      </c>
      <c r="C19" s="82" t="s">
        <v>222</v>
      </c>
      <c r="D19" s="83" t="s">
        <v>223</v>
      </c>
      <c r="E19" s="27"/>
      <c r="F19" s="27"/>
      <c r="G19" s="85" t="s">
        <v>225</v>
      </c>
      <c r="H19" s="86">
        <v>46218.0</v>
      </c>
      <c r="I19" s="80" t="s">
        <v>14</v>
      </c>
      <c r="J19" s="82" t="s">
        <v>223</v>
      </c>
      <c r="K19" s="87"/>
      <c r="L19" s="87"/>
      <c r="M19" s="88"/>
      <c r="N19" s="14"/>
      <c r="O19" s="14"/>
      <c r="P19" s="14"/>
      <c r="Q19" s="14"/>
      <c r="R19" s="14"/>
      <c r="S19" s="14"/>
      <c r="T19" s="14"/>
      <c r="U19" s="14"/>
      <c r="V19" s="14"/>
      <c r="W19" s="14"/>
      <c r="X19" s="14"/>
      <c r="Y19" s="14"/>
      <c r="Z19" s="14"/>
      <c r="AA19" s="14"/>
    </row>
    <row r="20">
      <c r="A20" s="80" t="s">
        <v>231</v>
      </c>
      <c r="B20" s="81" t="s">
        <v>113</v>
      </c>
      <c r="C20" s="82" t="s">
        <v>232</v>
      </c>
      <c r="D20" s="83" t="s">
        <v>233</v>
      </c>
      <c r="E20" s="27"/>
      <c r="F20" s="27"/>
      <c r="G20" s="85" t="s">
        <v>235</v>
      </c>
      <c r="H20" s="86">
        <v>46218.0</v>
      </c>
      <c r="I20" s="80" t="s">
        <v>14</v>
      </c>
      <c r="J20" s="82" t="s">
        <v>233</v>
      </c>
      <c r="K20" s="87"/>
      <c r="L20" s="87"/>
      <c r="M20" s="88"/>
      <c r="N20" s="14"/>
      <c r="O20" s="14"/>
      <c r="P20" s="14"/>
      <c r="Q20" s="14"/>
      <c r="R20" s="14"/>
      <c r="S20" s="14"/>
      <c r="T20" s="14"/>
      <c r="U20" s="14"/>
      <c r="V20" s="14"/>
      <c r="W20" s="14"/>
      <c r="X20" s="14"/>
      <c r="Y20" s="14"/>
      <c r="Z20" s="14"/>
      <c r="AA20" s="14"/>
    </row>
    <row r="21">
      <c r="A21" s="80" t="s">
        <v>242</v>
      </c>
      <c r="B21" s="81" t="s">
        <v>127</v>
      </c>
      <c r="C21" s="82" t="s">
        <v>244</v>
      </c>
      <c r="D21" s="83" t="s">
        <v>245</v>
      </c>
      <c r="E21" s="27"/>
      <c r="F21" s="27"/>
      <c r="G21" s="85" t="s">
        <v>246</v>
      </c>
      <c r="H21" s="86">
        <v>46218.0</v>
      </c>
      <c r="I21" s="80" t="s">
        <v>14</v>
      </c>
      <c r="J21" s="82" t="s">
        <v>245</v>
      </c>
      <c r="K21" s="87"/>
      <c r="L21" s="87"/>
      <c r="M21" s="88"/>
      <c r="N21" s="14"/>
      <c r="O21" s="14"/>
      <c r="P21" s="14"/>
      <c r="Q21" s="14"/>
      <c r="R21" s="14"/>
      <c r="S21" s="14"/>
      <c r="T21" s="14"/>
      <c r="U21" s="14"/>
      <c r="V21" s="14"/>
      <c r="W21" s="14"/>
      <c r="X21" s="14"/>
      <c r="Y21" s="14"/>
      <c r="Z21" s="14"/>
      <c r="AA21" s="14"/>
    </row>
    <row r="22">
      <c r="A22" s="80" t="s">
        <v>253</v>
      </c>
      <c r="B22" s="81" t="s">
        <v>254</v>
      </c>
      <c r="C22" s="82" t="s">
        <v>256</v>
      </c>
      <c r="D22" s="83" t="s">
        <v>258</v>
      </c>
      <c r="E22" s="27"/>
      <c r="F22" s="27"/>
      <c r="G22" s="85" t="s">
        <v>262</v>
      </c>
      <c r="H22" s="86">
        <v>46218.0</v>
      </c>
      <c r="I22" s="80" t="s">
        <v>14</v>
      </c>
      <c r="J22" s="82" t="s">
        <v>258</v>
      </c>
      <c r="K22" s="87"/>
      <c r="L22" s="87"/>
      <c r="M22" s="88"/>
      <c r="N22" s="14"/>
      <c r="O22" s="14"/>
      <c r="P22" s="14"/>
      <c r="Q22" s="14"/>
      <c r="R22" s="14"/>
      <c r="S22" s="14"/>
      <c r="T22" s="14"/>
      <c r="U22" s="14"/>
      <c r="V22" s="14"/>
      <c r="W22" s="14"/>
      <c r="X22" s="14"/>
      <c r="Y22" s="14"/>
      <c r="Z22" s="14"/>
      <c r="AA22" s="14"/>
    </row>
    <row r="23">
      <c r="A23" s="79" t="s">
        <v>270</v>
      </c>
      <c r="B23" s="27"/>
      <c r="C23" s="27"/>
      <c r="D23" s="27"/>
      <c r="E23" s="27"/>
      <c r="F23" s="27"/>
      <c r="G23" s="27"/>
      <c r="H23" s="27"/>
      <c r="I23" s="27"/>
      <c r="J23" s="27"/>
      <c r="K23" s="27"/>
      <c r="L23" s="27"/>
      <c r="M23" s="28"/>
      <c r="N23" s="14"/>
      <c r="O23" s="14"/>
      <c r="P23" s="14"/>
      <c r="Q23" s="14"/>
      <c r="R23" s="14"/>
      <c r="S23" s="14"/>
      <c r="T23" s="14"/>
      <c r="U23" s="14"/>
      <c r="V23" s="14"/>
      <c r="W23" s="14"/>
      <c r="X23" s="14"/>
      <c r="Y23" s="14"/>
      <c r="Z23" s="14"/>
      <c r="AA23" s="14"/>
    </row>
    <row r="24" ht="83.25" customHeight="1">
      <c r="A24" s="80" t="s">
        <v>277</v>
      </c>
      <c r="B24" s="81" t="s">
        <v>278</v>
      </c>
      <c r="C24" s="82" t="s">
        <v>279</v>
      </c>
      <c r="D24" s="83" t="s">
        <v>280</v>
      </c>
      <c r="E24" s="27"/>
      <c r="F24" s="27"/>
      <c r="G24" s="85" t="s">
        <v>281</v>
      </c>
      <c r="H24" s="86">
        <v>46218.0</v>
      </c>
      <c r="I24" s="80" t="s">
        <v>14</v>
      </c>
      <c r="J24" s="82" t="s">
        <v>284</v>
      </c>
      <c r="K24" s="87"/>
      <c r="L24" s="87"/>
      <c r="M24" s="88"/>
      <c r="N24" s="14"/>
      <c r="O24" s="14"/>
      <c r="P24" s="14"/>
      <c r="Q24" s="14"/>
      <c r="R24" s="14"/>
      <c r="S24" s="14"/>
      <c r="T24" s="14"/>
      <c r="U24" s="14"/>
      <c r="V24" s="14"/>
      <c r="W24" s="14"/>
      <c r="X24" s="14"/>
      <c r="Y24" s="14"/>
      <c r="Z24" s="14"/>
      <c r="AA24" s="14"/>
    </row>
    <row r="25" ht="84.75" customHeight="1">
      <c r="A25" s="80" t="s">
        <v>288</v>
      </c>
      <c r="B25" s="81" t="s">
        <v>289</v>
      </c>
      <c r="C25" s="82" t="s">
        <v>290</v>
      </c>
      <c r="D25" s="83" t="s">
        <v>291</v>
      </c>
      <c r="E25" s="27"/>
      <c r="F25" s="27"/>
      <c r="G25" s="85" t="s">
        <v>292</v>
      </c>
      <c r="H25" s="86">
        <v>46218.0</v>
      </c>
      <c r="I25" s="80" t="s">
        <v>15</v>
      </c>
      <c r="J25" s="82" t="s">
        <v>298</v>
      </c>
      <c r="K25" s="86">
        <v>46219.0</v>
      </c>
      <c r="L25" s="80" t="s">
        <v>14</v>
      </c>
      <c r="M25" s="125" t="s">
        <v>299</v>
      </c>
      <c r="N25" s="14"/>
      <c r="O25" s="14"/>
      <c r="P25" s="14"/>
      <c r="Q25" s="14"/>
      <c r="R25" s="14"/>
      <c r="S25" s="14"/>
      <c r="T25" s="14"/>
      <c r="U25" s="14"/>
      <c r="V25" s="14"/>
      <c r="W25" s="14"/>
      <c r="X25" s="14"/>
      <c r="Y25" s="14"/>
      <c r="Z25" s="14"/>
      <c r="AA25" s="14"/>
    </row>
    <row r="26" ht="84.75" customHeight="1">
      <c r="A26" s="80" t="s">
        <v>302</v>
      </c>
      <c r="B26" s="81" t="s">
        <v>303</v>
      </c>
      <c r="C26" s="82" t="s">
        <v>305</v>
      </c>
      <c r="D26" s="83" t="s">
        <v>306</v>
      </c>
      <c r="E26" s="27"/>
      <c r="F26" s="27"/>
      <c r="G26" s="85" t="s">
        <v>307</v>
      </c>
      <c r="H26" s="86">
        <v>46218.0</v>
      </c>
      <c r="I26" s="80" t="s">
        <v>14</v>
      </c>
      <c r="J26" s="82" t="s">
        <v>312</v>
      </c>
      <c r="K26" s="87"/>
      <c r="L26" s="87"/>
      <c r="M26" s="88"/>
      <c r="N26" s="14"/>
      <c r="O26" s="14"/>
      <c r="P26" s="14"/>
      <c r="Q26" s="14"/>
      <c r="R26" s="14"/>
      <c r="S26" s="14"/>
      <c r="T26" s="14"/>
      <c r="U26" s="14"/>
      <c r="V26" s="14"/>
      <c r="W26" s="14"/>
      <c r="X26" s="14"/>
      <c r="Y26" s="14"/>
      <c r="Z26" s="14"/>
      <c r="AA26" s="14"/>
    </row>
    <row r="27" ht="84.75" customHeight="1">
      <c r="A27" s="80" t="s">
        <v>314</v>
      </c>
      <c r="B27" s="81" t="s">
        <v>315</v>
      </c>
      <c r="C27" s="82" t="s">
        <v>316</v>
      </c>
      <c r="D27" s="83" t="s">
        <v>317</v>
      </c>
      <c r="E27" s="27"/>
      <c r="F27" s="27"/>
      <c r="G27" s="85" t="s">
        <v>318</v>
      </c>
      <c r="H27" s="86">
        <v>46218.0</v>
      </c>
      <c r="I27" s="80" t="s">
        <v>15</v>
      </c>
      <c r="J27" s="82" t="s">
        <v>320</v>
      </c>
      <c r="K27" s="86">
        <v>46219.0</v>
      </c>
      <c r="L27" s="80" t="s">
        <v>14</v>
      </c>
      <c r="M27" s="125" t="s">
        <v>321</v>
      </c>
      <c r="N27" s="14"/>
      <c r="O27" s="14"/>
      <c r="P27" s="14"/>
      <c r="Q27" s="14"/>
      <c r="R27" s="14"/>
      <c r="S27" s="14"/>
      <c r="T27" s="14"/>
      <c r="U27" s="14"/>
      <c r="V27" s="14"/>
      <c r="W27" s="14"/>
      <c r="X27" s="14"/>
      <c r="Y27" s="14"/>
      <c r="Z27" s="14"/>
      <c r="AA27" s="14"/>
    </row>
    <row r="28" ht="106.5" customHeight="1">
      <c r="A28" s="80" t="s">
        <v>322</v>
      </c>
      <c r="B28" s="81" t="s">
        <v>323</v>
      </c>
      <c r="C28" s="82" t="s">
        <v>324</v>
      </c>
      <c r="D28" s="83" t="s">
        <v>325</v>
      </c>
      <c r="E28" s="27"/>
      <c r="F28" s="27"/>
      <c r="G28" s="85" t="s">
        <v>326</v>
      </c>
      <c r="H28" s="86">
        <v>46218.0</v>
      </c>
      <c r="I28" s="80" t="s">
        <v>15</v>
      </c>
      <c r="J28" s="82" t="s">
        <v>327</v>
      </c>
      <c r="K28" s="86">
        <v>46219.0</v>
      </c>
      <c r="L28" s="80" t="s">
        <v>14</v>
      </c>
      <c r="M28" s="125" t="s">
        <v>328</v>
      </c>
      <c r="N28" s="14"/>
      <c r="O28" s="14"/>
      <c r="P28" s="14"/>
      <c r="Q28" s="14"/>
      <c r="R28" s="14"/>
      <c r="S28" s="14"/>
      <c r="T28" s="14"/>
      <c r="U28" s="14"/>
      <c r="V28" s="14"/>
      <c r="W28" s="14"/>
      <c r="X28" s="14"/>
      <c r="Y28" s="14"/>
      <c r="Z28" s="14"/>
      <c r="AA28" s="14"/>
    </row>
    <row r="29" ht="108.75" customHeight="1">
      <c r="A29" s="80" t="s">
        <v>329</v>
      </c>
      <c r="B29" s="81" t="s">
        <v>330</v>
      </c>
      <c r="C29" s="82" t="s">
        <v>331</v>
      </c>
      <c r="D29" s="83" t="s">
        <v>332</v>
      </c>
      <c r="E29" s="27"/>
      <c r="F29" s="27"/>
      <c r="G29" s="85" t="s">
        <v>333</v>
      </c>
      <c r="H29" s="86">
        <v>46218.0</v>
      </c>
      <c r="I29" s="80" t="s">
        <v>15</v>
      </c>
      <c r="J29" s="82" t="s">
        <v>334</v>
      </c>
      <c r="K29" s="86">
        <v>46219.0</v>
      </c>
      <c r="L29" s="80" t="s">
        <v>14</v>
      </c>
      <c r="M29" s="125" t="s">
        <v>335</v>
      </c>
      <c r="N29" s="14"/>
      <c r="O29" s="14"/>
      <c r="P29" s="14"/>
      <c r="Q29" s="14"/>
      <c r="R29" s="14"/>
      <c r="S29" s="14"/>
      <c r="T29" s="14"/>
      <c r="U29" s="14"/>
      <c r="V29" s="14"/>
      <c r="W29" s="14"/>
      <c r="X29" s="14"/>
      <c r="Y29" s="14"/>
      <c r="Z29" s="14"/>
      <c r="AA29" s="14"/>
    </row>
    <row r="30" ht="108.75" customHeight="1">
      <c r="A30" s="80" t="s">
        <v>336</v>
      </c>
      <c r="B30" s="81" t="s">
        <v>337</v>
      </c>
      <c r="C30" s="82" t="s">
        <v>338</v>
      </c>
      <c r="D30" s="83" t="s">
        <v>339</v>
      </c>
      <c r="E30" s="27"/>
      <c r="F30" s="27"/>
      <c r="G30" s="85" t="s">
        <v>340</v>
      </c>
      <c r="H30" s="86">
        <v>46218.0</v>
      </c>
      <c r="I30" s="80" t="s">
        <v>15</v>
      </c>
      <c r="J30" s="82" t="s">
        <v>341</v>
      </c>
      <c r="K30" s="86">
        <v>46219.0</v>
      </c>
      <c r="L30" s="80" t="s">
        <v>14</v>
      </c>
      <c r="M30" s="125" t="s">
        <v>342</v>
      </c>
      <c r="N30" s="14"/>
      <c r="O30" s="14"/>
      <c r="P30" s="14"/>
      <c r="Q30" s="14"/>
      <c r="R30" s="14"/>
      <c r="S30" s="14"/>
      <c r="T30" s="14"/>
      <c r="U30" s="14"/>
      <c r="V30" s="14"/>
      <c r="W30" s="14"/>
      <c r="X30" s="14"/>
      <c r="Y30" s="14"/>
      <c r="Z30" s="14"/>
      <c r="AA30" s="14"/>
    </row>
    <row r="31" ht="108.75" customHeight="1">
      <c r="A31" s="80" t="s">
        <v>343</v>
      </c>
      <c r="B31" s="81" t="s">
        <v>344</v>
      </c>
      <c r="C31" s="82" t="s">
        <v>345</v>
      </c>
      <c r="D31" s="83" t="s">
        <v>346</v>
      </c>
      <c r="E31" s="27"/>
      <c r="F31" s="27"/>
      <c r="G31" s="85" t="s">
        <v>347</v>
      </c>
      <c r="H31" s="86">
        <v>46218.0</v>
      </c>
      <c r="I31" s="80" t="s">
        <v>15</v>
      </c>
      <c r="J31" s="82" t="s">
        <v>348</v>
      </c>
      <c r="K31" s="86">
        <v>46219.0</v>
      </c>
      <c r="L31" s="80" t="s">
        <v>14</v>
      </c>
      <c r="M31" s="125" t="s">
        <v>349</v>
      </c>
      <c r="N31" s="14"/>
      <c r="O31" s="14"/>
      <c r="P31" s="14"/>
      <c r="Q31" s="14"/>
      <c r="R31" s="14"/>
      <c r="S31" s="14"/>
      <c r="T31" s="14"/>
      <c r="U31" s="14"/>
      <c r="V31" s="14"/>
      <c r="W31" s="14"/>
      <c r="X31" s="14"/>
      <c r="Y31" s="14"/>
      <c r="Z31" s="14"/>
      <c r="AA31" s="14"/>
    </row>
    <row r="32">
      <c r="A32" s="79" t="s">
        <v>350</v>
      </c>
      <c r="B32" s="27"/>
      <c r="C32" s="27"/>
      <c r="D32" s="27"/>
      <c r="E32" s="27"/>
      <c r="F32" s="27"/>
      <c r="G32" s="27"/>
      <c r="H32" s="27"/>
      <c r="I32" s="27"/>
      <c r="J32" s="27"/>
      <c r="K32" s="27"/>
      <c r="L32" s="27"/>
      <c r="M32" s="28"/>
      <c r="N32" s="14"/>
      <c r="O32" s="14"/>
      <c r="P32" s="14"/>
      <c r="Q32" s="14"/>
      <c r="R32" s="14"/>
      <c r="S32" s="14"/>
      <c r="T32" s="14"/>
      <c r="U32" s="14"/>
      <c r="V32" s="14"/>
      <c r="W32" s="14"/>
      <c r="X32" s="14"/>
      <c r="Y32" s="14"/>
      <c r="Z32" s="14"/>
      <c r="AA32" s="14"/>
    </row>
    <row r="33">
      <c r="A33" s="80" t="s">
        <v>351</v>
      </c>
      <c r="B33" s="81" t="s">
        <v>352</v>
      </c>
      <c r="C33" s="82" t="s">
        <v>353</v>
      </c>
      <c r="D33" s="83" t="s">
        <v>354</v>
      </c>
      <c r="E33" s="27"/>
      <c r="F33" s="27"/>
      <c r="G33" s="85" t="s">
        <v>355</v>
      </c>
      <c r="H33" s="86">
        <v>46218.0</v>
      </c>
      <c r="I33" s="80" t="s">
        <v>15</v>
      </c>
      <c r="J33" s="82" t="s">
        <v>356</v>
      </c>
      <c r="K33" s="86">
        <v>46219.0</v>
      </c>
      <c r="L33" s="80" t="s">
        <v>14</v>
      </c>
      <c r="M33" s="125" t="s">
        <v>357</v>
      </c>
      <c r="N33" s="14"/>
      <c r="O33" s="14"/>
      <c r="P33" s="14"/>
      <c r="Q33" s="14"/>
      <c r="R33" s="14"/>
      <c r="S33" s="14"/>
      <c r="T33" s="14"/>
      <c r="U33" s="14"/>
      <c r="V33" s="14"/>
      <c r="W33" s="14"/>
      <c r="X33" s="14"/>
      <c r="Y33" s="14"/>
      <c r="Z33" s="14"/>
      <c r="AA33" s="14"/>
    </row>
    <row r="34" ht="75.75" customHeight="1">
      <c r="A34" s="80" t="s">
        <v>358</v>
      </c>
      <c r="B34" s="81" t="s">
        <v>359</v>
      </c>
      <c r="C34" s="82" t="s">
        <v>360</v>
      </c>
      <c r="D34" s="83" t="s">
        <v>361</v>
      </c>
      <c r="E34" s="27"/>
      <c r="F34" s="27"/>
      <c r="G34" s="85" t="s">
        <v>362</v>
      </c>
      <c r="H34" s="86">
        <v>46218.0</v>
      </c>
      <c r="I34" s="80" t="s">
        <v>15</v>
      </c>
      <c r="J34" s="82" t="s">
        <v>363</v>
      </c>
      <c r="K34" s="86">
        <v>46219.0</v>
      </c>
      <c r="L34" s="80" t="s">
        <v>14</v>
      </c>
      <c r="M34" s="125" t="s">
        <v>364</v>
      </c>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88"/>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c r="Z1011" s="137"/>
      <c r="AA1011" s="137"/>
    </row>
  </sheetData>
  <mergeCells count="39">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17:F17"/>
    <mergeCell ref="D18:F18"/>
    <mergeCell ref="D19:F19"/>
    <mergeCell ref="D20:F20"/>
    <mergeCell ref="D21:F21"/>
    <mergeCell ref="D22:F22"/>
    <mergeCell ref="A23:M23"/>
    <mergeCell ref="D31:F31"/>
    <mergeCell ref="A32:M32"/>
    <mergeCell ref="D33:F33"/>
    <mergeCell ref="D34:F34"/>
    <mergeCell ref="D24:F24"/>
    <mergeCell ref="D25:F25"/>
    <mergeCell ref="D26:F26"/>
    <mergeCell ref="D27:F27"/>
    <mergeCell ref="D28:F28"/>
    <mergeCell ref="D29:F29"/>
    <mergeCell ref="D30:F30"/>
  </mergeCells>
  <hyperlinks>
    <hyperlink r:id="rId1" ref="G13"/>
    <hyperlink r:id="rId2" ref="G15"/>
    <hyperlink r:id="rId3" ref="G16"/>
    <hyperlink r:id="rId4" ref="G17"/>
    <hyperlink r:id="rId5" ref="G18"/>
    <hyperlink r:id="rId6" ref="G19"/>
    <hyperlink r:id="rId7" ref="G20"/>
    <hyperlink r:id="rId8" ref="G21"/>
    <hyperlink r:id="rId9" ref="G22"/>
    <hyperlink r:id="rId10" ref="G24"/>
    <hyperlink r:id="rId11" ref="G25"/>
    <hyperlink r:id="rId12" ref="M25"/>
    <hyperlink r:id="rId13" ref="G26"/>
    <hyperlink r:id="rId14" ref="G27"/>
    <hyperlink r:id="rId15" ref="M27"/>
    <hyperlink r:id="rId16" ref="G28"/>
    <hyperlink r:id="rId17" ref="M28"/>
    <hyperlink r:id="rId18" ref="G29"/>
    <hyperlink r:id="rId19" ref="M29"/>
    <hyperlink r:id="rId20" ref="G30"/>
    <hyperlink r:id="rId21" ref="M30"/>
    <hyperlink r:id="rId22" ref="G31"/>
    <hyperlink r:id="rId23" ref="M31"/>
    <hyperlink r:id="rId24" ref="G33"/>
    <hyperlink r:id="rId25" ref="M33"/>
    <hyperlink r:id="rId26" ref="G34"/>
    <hyperlink r:id="rId27" ref="M34"/>
  </hyperlinks>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201</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203</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7.0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2.0</v>
      </c>
      <c r="C7" s="52" t="s">
        <v>36</v>
      </c>
      <c r="D7" s="49">
        <v>9.0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56"/>
      <c r="D11" s="56"/>
      <c r="E11" s="56"/>
      <c r="F11" s="56"/>
      <c r="G11" s="27"/>
      <c r="H11" s="27"/>
      <c r="I11" s="27"/>
      <c r="J11" s="27"/>
      <c r="K11" s="27"/>
      <c r="L11" s="27"/>
      <c r="M11" s="27"/>
      <c r="N11" s="14"/>
      <c r="O11" s="14"/>
      <c r="P11" s="14"/>
      <c r="Q11" s="14"/>
      <c r="R11" s="14"/>
      <c r="S11" s="14"/>
      <c r="T11" s="14"/>
      <c r="U11" s="14"/>
      <c r="V11" s="14"/>
      <c r="W11" s="14"/>
      <c r="X11" s="14"/>
      <c r="Y11" s="14"/>
      <c r="Z11" s="14"/>
      <c r="AA11" s="14"/>
    </row>
    <row r="12">
      <c r="A12" s="79" t="s">
        <v>224</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12.5" customHeight="1">
      <c r="A13" s="80" t="s">
        <v>226</v>
      </c>
      <c r="B13" s="81" t="s">
        <v>227</v>
      </c>
      <c r="C13" s="82" t="s">
        <v>228</v>
      </c>
      <c r="D13" s="83" t="s">
        <v>229</v>
      </c>
      <c r="E13" s="27"/>
      <c r="F13" s="27"/>
      <c r="G13" s="85" t="s">
        <v>230</v>
      </c>
      <c r="H13" s="86">
        <v>46226.0</v>
      </c>
      <c r="I13" s="80" t="s">
        <v>14</v>
      </c>
      <c r="J13" s="82" t="s">
        <v>234</v>
      </c>
      <c r="K13" s="87"/>
      <c r="L13" s="14"/>
      <c r="M13" s="88"/>
      <c r="N13" s="14"/>
      <c r="O13" s="14"/>
      <c r="P13" s="14"/>
      <c r="Q13" s="14"/>
      <c r="R13" s="14"/>
      <c r="S13" s="14"/>
      <c r="T13" s="14"/>
      <c r="U13" s="14"/>
      <c r="V13" s="14"/>
      <c r="W13" s="14"/>
      <c r="X13" s="14"/>
      <c r="Y13" s="14"/>
      <c r="Z13" s="14"/>
      <c r="AA13" s="14"/>
    </row>
    <row r="14">
      <c r="A14" s="79" t="s">
        <v>236</v>
      </c>
      <c r="B14" s="27"/>
      <c r="C14" s="27"/>
      <c r="D14" s="27"/>
      <c r="E14" s="27"/>
      <c r="F14" s="27"/>
      <c r="G14" s="27"/>
      <c r="H14" s="27"/>
      <c r="I14" s="27"/>
      <c r="J14" s="27"/>
      <c r="K14" s="27"/>
      <c r="L14" s="27"/>
      <c r="M14" s="28"/>
      <c r="N14" s="14"/>
      <c r="O14" s="14"/>
      <c r="P14" s="14"/>
      <c r="Q14" s="14"/>
      <c r="R14" s="14"/>
      <c r="S14" s="14"/>
      <c r="T14" s="14"/>
      <c r="U14" s="14"/>
      <c r="V14" s="14"/>
      <c r="W14" s="14"/>
      <c r="X14" s="14"/>
      <c r="Y14" s="14"/>
      <c r="Z14" s="14"/>
      <c r="AA14" s="14"/>
    </row>
    <row r="15" ht="87.0" customHeight="1">
      <c r="A15" s="80" t="s">
        <v>237</v>
      </c>
      <c r="B15" s="81" t="s">
        <v>238</v>
      </c>
      <c r="C15" s="82" t="s">
        <v>239</v>
      </c>
      <c r="D15" s="83" t="s">
        <v>240</v>
      </c>
      <c r="E15" s="27"/>
      <c r="F15" s="27"/>
      <c r="G15" s="85" t="s">
        <v>241</v>
      </c>
      <c r="H15" s="86">
        <v>46226.0</v>
      </c>
      <c r="I15" s="80" t="s">
        <v>14</v>
      </c>
      <c r="J15" s="82" t="s">
        <v>243</v>
      </c>
      <c r="K15" s="87"/>
      <c r="L15" s="87"/>
      <c r="M15" s="88"/>
      <c r="N15" s="14"/>
      <c r="O15" s="14"/>
      <c r="P15" s="14"/>
      <c r="Q15" s="14"/>
      <c r="R15" s="14"/>
      <c r="S15" s="14"/>
      <c r="T15" s="14"/>
      <c r="U15" s="14"/>
      <c r="V15" s="14"/>
      <c r="W15" s="14"/>
      <c r="X15" s="14"/>
      <c r="Y15" s="14"/>
      <c r="Z15" s="14"/>
      <c r="AA15" s="14"/>
    </row>
    <row r="16" ht="72.75" customHeight="1">
      <c r="A16" s="80" t="s">
        <v>247</v>
      </c>
      <c r="B16" s="81" t="s">
        <v>248</v>
      </c>
      <c r="C16" s="82" t="s">
        <v>249</v>
      </c>
      <c r="D16" s="83" t="s">
        <v>250</v>
      </c>
      <c r="E16" s="27"/>
      <c r="F16" s="27"/>
      <c r="G16" s="85" t="s">
        <v>251</v>
      </c>
      <c r="H16" s="86">
        <v>46226.0</v>
      </c>
      <c r="I16" s="80" t="s">
        <v>14</v>
      </c>
      <c r="J16" s="82" t="s">
        <v>252</v>
      </c>
      <c r="K16" s="87"/>
      <c r="L16" s="87"/>
      <c r="M16" s="88"/>
      <c r="N16" s="14"/>
      <c r="O16" s="14"/>
      <c r="P16" s="14"/>
      <c r="Q16" s="14"/>
      <c r="R16" s="14"/>
      <c r="S16" s="14"/>
      <c r="T16" s="14"/>
      <c r="U16" s="14"/>
      <c r="V16" s="14"/>
      <c r="W16" s="14"/>
      <c r="X16" s="14"/>
      <c r="Y16" s="14"/>
      <c r="Z16" s="14"/>
      <c r="AA16" s="14"/>
    </row>
    <row r="17">
      <c r="A17" s="80" t="s">
        <v>255</v>
      </c>
      <c r="B17" s="81" t="s">
        <v>257</v>
      </c>
      <c r="C17" s="82" t="s">
        <v>259</v>
      </c>
      <c r="D17" s="83" t="s">
        <v>260</v>
      </c>
      <c r="E17" s="27"/>
      <c r="F17" s="27"/>
      <c r="G17" s="85" t="s">
        <v>261</v>
      </c>
      <c r="H17" s="86">
        <v>46226.0</v>
      </c>
      <c r="I17" s="80" t="s">
        <v>14</v>
      </c>
      <c r="J17" s="82" t="s">
        <v>263</v>
      </c>
      <c r="K17" s="87"/>
      <c r="L17" s="87"/>
      <c r="M17" s="88"/>
      <c r="N17" s="14"/>
      <c r="O17" s="14"/>
      <c r="P17" s="14"/>
      <c r="Q17" s="14"/>
      <c r="R17" s="14"/>
      <c r="S17" s="14"/>
      <c r="T17" s="14"/>
      <c r="U17" s="14"/>
      <c r="V17" s="14"/>
      <c r="W17" s="14"/>
      <c r="X17" s="14"/>
      <c r="Y17" s="14"/>
      <c r="Z17" s="14"/>
      <c r="AA17" s="14"/>
    </row>
    <row r="18">
      <c r="A18" s="79" t="s">
        <v>264</v>
      </c>
      <c r="B18" s="27"/>
      <c r="C18" s="27"/>
      <c r="D18" s="27"/>
      <c r="E18" s="27"/>
      <c r="F18" s="27"/>
      <c r="G18" s="27"/>
      <c r="H18" s="27"/>
      <c r="I18" s="27"/>
      <c r="J18" s="27"/>
      <c r="K18" s="27"/>
      <c r="L18" s="27"/>
      <c r="M18" s="28"/>
      <c r="N18" s="14"/>
      <c r="O18" s="14"/>
      <c r="P18" s="14"/>
      <c r="Q18" s="14"/>
      <c r="R18" s="14"/>
      <c r="S18" s="14"/>
      <c r="T18" s="14"/>
      <c r="U18" s="14"/>
      <c r="V18" s="14"/>
      <c r="W18" s="14"/>
      <c r="X18" s="14"/>
      <c r="Y18" s="14"/>
      <c r="Z18" s="14"/>
      <c r="AA18" s="14"/>
    </row>
    <row r="19" ht="98.25" customHeight="1">
      <c r="A19" s="80" t="s">
        <v>265</v>
      </c>
      <c r="B19" s="81" t="s">
        <v>266</v>
      </c>
      <c r="C19" s="82" t="s">
        <v>267</v>
      </c>
      <c r="D19" s="83" t="s">
        <v>268</v>
      </c>
      <c r="E19" s="27"/>
      <c r="F19" s="27"/>
      <c r="G19" s="85" t="s">
        <v>269</v>
      </c>
      <c r="H19" s="86">
        <v>46226.0</v>
      </c>
      <c r="I19" s="80" t="s">
        <v>14</v>
      </c>
      <c r="J19" s="82" t="s">
        <v>271</v>
      </c>
      <c r="K19" s="87"/>
      <c r="L19" s="87"/>
      <c r="M19" s="88"/>
      <c r="N19" s="14"/>
      <c r="O19" s="14"/>
      <c r="P19" s="14"/>
      <c r="Q19" s="14"/>
      <c r="R19" s="14"/>
      <c r="S19" s="14"/>
      <c r="T19" s="14"/>
      <c r="U19" s="14"/>
      <c r="V19" s="14"/>
      <c r="W19" s="14"/>
      <c r="X19" s="14"/>
      <c r="Y19" s="14"/>
      <c r="Z19" s="14"/>
      <c r="AA19" s="14"/>
    </row>
    <row r="20" ht="86.25" customHeight="1">
      <c r="A20" s="80" t="s">
        <v>272</v>
      </c>
      <c r="B20" s="81" t="s">
        <v>273</v>
      </c>
      <c r="C20" s="82" t="s">
        <v>274</v>
      </c>
      <c r="D20" s="83" t="s">
        <v>275</v>
      </c>
      <c r="E20" s="27"/>
      <c r="F20" s="27"/>
      <c r="G20" s="85" t="s">
        <v>276</v>
      </c>
      <c r="H20" s="86">
        <v>46226.0</v>
      </c>
      <c r="I20" s="80" t="s">
        <v>14</v>
      </c>
      <c r="J20" s="82" t="s">
        <v>271</v>
      </c>
      <c r="K20" s="87"/>
      <c r="L20" s="87"/>
      <c r="M20" s="88"/>
      <c r="N20" s="14"/>
      <c r="O20" s="14"/>
      <c r="P20" s="14"/>
      <c r="Q20" s="14"/>
      <c r="R20" s="14"/>
      <c r="S20" s="14"/>
      <c r="T20" s="14"/>
      <c r="U20" s="14"/>
      <c r="V20" s="14"/>
      <c r="W20" s="14"/>
      <c r="X20" s="14"/>
      <c r="Y20" s="14"/>
      <c r="Z20" s="14"/>
      <c r="AA20" s="14"/>
    </row>
    <row r="21">
      <c r="A21" s="79" t="s">
        <v>158</v>
      </c>
      <c r="B21" s="27"/>
      <c r="C21" s="27"/>
      <c r="D21" s="27"/>
      <c r="E21" s="27"/>
      <c r="F21" s="27"/>
      <c r="G21" s="27"/>
      <c r="H21" s="27"/>
      <c r="I21" s="27"/>
      <c r="J21" s="27"/>
      <c r="K21" s="27"/>
      <c r="L21" s="27"/>
      <c r="M21" s="28"/>
      <c r="N21" s="14"/>
      <c r="O21" s="14"/>
      <c r="P21" s="14"/>
      <c r="Q21" s="14"/>
      <c r="R21" s="14"/>
      <c r="S21" s="14"/>
      <c r="T21" s="14"/>
      <c r="U21" s="14"/>
      <c r="V21" s="14"/>
      <c r="W21" s="14"/>
      <c r="X21" s="14"/>
      <c r="Y21" s="14"/>
      <c r="Z21" s="14"/>
      <c r="AA21" s="14"/>
    </row>
    <row r="22" ht="101.25" customHeight="1">
      <c r="A22" s="80" t="s">
        <v>282</v>
      </c>
      <c r="B22" s="81" t="s">
        <v>283</v>
      </c>
      <c r="C22" s="82" t="s">
        <v>285</v>
      </c>
      <c r="D22" s="83" t="s">
        <v>286</v>
      </c>
      <c r="E22" s="27"/>
      <c r="F22" s="27"/>
      <c r="G22" s="85" t="s">
        <v>287</v>
      </c>
      <c r="H22" s="86">
        <v>46226.0</v>
      </c>
      <c r="I22" s="80" t="s">
        <v>14</v>
      </c>
      <c r="J22" s="82" t="s">
        <v>271</v>
      </c>
      <c r="K22" s="87"/>
      <c r="L22" s="87"/>
      <c r="M22" s="88"/>
      <c r="N22" s="14"/>
      <c r="O22" s="14"/>
      <c r="P22" s="14"/>
      <c r="Q22" s="14"/>
      <c r="R22" s="14"/>
      <c r="S22" s="14"/>
      <c r="T22" s="14"/>
      <c r="U22" s="14"/>
      <c r="V22" s="14"/>
      <c r="W22" s="14"/>
      <c r="X22" s="14"/>
      <c r="Y22" s="14"/>
      <c r="Z22" s="14"/>
      <c r="AA22" s="14"/>
    </row>
    <row r="23" ht="111.75" customHeight="1">
      <c r="A23" s="80" t="s">
        <v>293</v>
      </c>
      <c r="B23" s="81" t="s">
        <v>294</v>
      </c>
      <c r="C23" s="82" t="s">
        <v>295</v>
      </c>
      <c r="D23" s="83" t="s">
        <v>296</v>
      </c>
      <c r="E23" s="27"/>
      <c r="F23" s="27"/>
      <c r="G23" s="85" t="s">
        <v>297</v>
      </c>
      <c r="H23" s="86">
        <v>46226.0</v>
      </c>
      <c r="I23" s="80" t="s">
        <v>15</v>
      </c>
      <c r="J23" s="82" t="s">
        <v>300</v>
      </c>
      <c r="K23" s="86">
        <v>46226.0</v>
      </c>
      <c r="L23" s="80" t="s">
        <v>14</v>
      </c>
      <c r="M23" s="125" t="s">
        <v>301</v>
      </c>
    </row>
    <row r="24">
      <c r="A24" s="79" t="s">
        <v>304</v>
      </c>
      <c r="B24" s="27"/>
      <c r="C24" s="27"/>
      <c r="D24" s="27"/>
      <c r="E24" s="27"/>
      <c r="F24" s="27"/>
      <c r="G24" s="27"/>
      <c r="H24" s="27"/>
      <c r="I24" s="27"/>
      <c r="J24" s="27"/>
      <c r="K24" s="27"/>
      <c r="L24" s="27"/>
      <c r="M24" s="28"/>
      <c r="N24" s="14"/>
      <c r="O24" s="14"/>
      <c r="P24" s="14"/>
      <c r="Q24" s="14"/>
      <c r="R24" s="14"/>
      <c r="S24" s="14"/>
      <c r="T24" s="14"/>
      <c r="U24" s="14"/>
      <c r="V24" s="14"/>
      <c r="W24" s="14"/>
      <c r="X24" s="14"/>
      <c r="Y24" s="14"/>
      <c r="Z24" s="14"/>
      <c r="AA24" s="14"/>
    </row>
    <row r="25" ht="87.0" customHeight="1">
      <c r="A25" s="80" t="s">
        <v>308</v>
      </c>
      <c r="B25" s="81" t="s">
        <v>309</v>
      </c>
      <c r="C25" s="82" t="s">
        <v>310</v>
      </c>
      <c r="D25" s="83" t="s">
        <v>311</v>
      </c>
      <c r="E25" s="27"/>
      <c r="F25" s="27"/>
      <c r="G25" s="85" t="s">
        <v>313</v>
      </c>
      <c r="H25" s="86">
        <v>46252.0</v>
      </c>
      <c r="I25" s="80" t="s">
        <v>15</v>
      </c>
      <c r="J25" s="82" t="s">
        <v>319</v>
      </c>
      <c r="K25" s="86"/>
      <c r="L25" s="86"/>
      <c r="M25" s="126"/>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27"/>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88"/>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23:F23"/>
    <mergeCell ref="D25:F25"/>
    <mergeCell ref="D17:F17"/>
    <mergeCell ref="A18:M18"/>
    <mergeCell ref="D19:F19"/>
    <mergeCell ref="D20:F20"/>
    <mergeCell ref="A21:M21"/>
    <mergeCell ref="D22:F22"/>
    <mergeCell ref="A24:M24"/>
  </mergeCells>
  <hyperlinks>
    <hyperlink r:id="rId1" ref="G13"/>
    <hyperlink r:id="rId2" ref="G15"/>
    <hyperlink r:id="rId3" ref="G16"/>
    <hyperlink r:id="rId4" ref="G17"/>
    <hyperlink r:id="rId5" ref="G19"/>
    <hyperlink r:id="rId6" ref="G20"/>
    <hyperlink r:id="rId7" ref="G22"/>
    <hyperlink r:id="rId8" ref="G23"/>
    <hyperlink r:id="rId9" ref="M23"/>
    <hyperlink r:id="rId10" ref="G25"/>
  </hyperlinks>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365</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366</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5.0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4.0</v>
      </c>
      <c r="C7" s="52" t="s">
        <v>36</v>
      </c>
      <c r="D7" s="49">
        <v>9.0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56"/>
      <c r="D11" s="56"/>
      <c r="E11" s="56"/>
      <c r="F11" s="56"/>
      <c r="G11" s="27"/>
      <c r="H11" s="27"/>
      <c r="I11" s="27"/>
      <c r="J11" s="27"/>
      <c r="K11" s="27"/>
      <c r="L11" s="27"/>
      <c r="M11" s="27"/>
      <c r="N11" s="14"/>
      <c r="O11" s="14"/>
      <c r="P11" s="14"/>
      <c r="Q11" s="14"/>
      <c r="R11" s="14"/>
      <c r="S11" s="14"/>
      <c r="T11" s="14"/>
      <c r="U11" s="14"/>
      <c r="V11" s="14"/>
      <c r="W11" s="14"/>
      <c r="X11" s="14"/>
      <c r="Y11" s="14"/>
      <c r="Z11" s="14"/>
      <c r="AA11" s="14"/>
    </row>
    <row r="12">
      <c r="A12" s="79" t="s">
        <v>367</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22.25" customHeight="1">
      <c r="A13" s="80" t="s">
        <v>368</v>
      </c>
      <c r="B13" s="81" t="s">
        <v>369</v>
      </c>
      <c r="C13" s="82" t="s">
        <v>370</v>
      </c>
      <c r="D13" s="83" t="s">
        <v>371</v>
      </c>
      <c r="E13" s="27"/>
      <c r="F13" s="27"/>
      <c r="G13" s="85" t="s">
        <v>372</v>
      </c>
      <c r="H13" s="86">
        <v>46232.0</v>
      </c>
      <c r="I13" s="80" t="s">
        <v>14</v>
      </c>
      <c r="J13" s="82" t="s">
        <v>373</v>
      </c>
      <c r="K13" s="87"/>
      <c r="L13" s="14"/>
      <c r="M13" s="88"/>
      <c r="N13" s="14"/>
      <c r="O13" s="14"/>
      <c r="P13" s="14"/>
      <c r="Q13" s="14"/>
      <c r="R13" s="14"/>
      <c r="S13" s="14"/>
      <c r="T13" s="14"/>
      <c r="U13" s="14"/>
      <c r="V13" s="14"/>
      <c r="W13" s="14"/>
      <c r="X13" s="14"/>
      <c r="Y13" s="14"/>
      <c r="Z13" s="14"/>
      <c r="AA13" s="14"/>
    </row>
    <row r="14">
      <c r="A14" s="79" t="s">
        <v>374</v>
      </c>
      <c r="B14" s="27"/>
      <c r="C14" s="27"/>
      <c r="D14" s="27"/>
      <c r="E14" s="27"/>
      <c r="F14" s="27"/>
      <c r="G14" s="27"/>
      <c r="H14" s="27"/>
      <c r="I14" s="27"/>
      <c r="J14" s="27"/>
      <c r="K14" s="27"/>
      <c r="L14" s="27"/>
      <c r="M14" s="28"/>
      <c r="N14" s="14"/>
      <c r="O14" s="14"/>
      <c r="P14" s="14"/>
      <c r="Q14" s="14"/>
      <c r="R14" s="14"/>
      <c r="S14" s="14"/>
      <c r="T14" s="14"/>
      <c r="U14" s="14"/>
      <c r="V14" s="14"/>
      <c r="W14" s="14"/>
      <c r="X14" s="14"/>
      <c r="Y14" s="14"/>
      <c r="Z14" s="14"/>
      <c r="AA14" s="14"/>
    </row>
    <row r="15" ht="129.0" customHeight="1">
      <c r="A15" s="80" t="s">
        <v>375</v>
      </c>
      <c r="B15" s="81" t="s">
        <v>376</v>
      </c>
      <c r="C15" s="82" t="s">
        <v>377</v>
      </c>
      <c r="D15" s="83" t="s">
        <v>378</v>
      </c>
      <c r="E15" s="27"/>
      <c r="F15" s="27"/>
      <c r="G15" s="85" t="s">
        <v>379</v>
      </c>
      <c r="H15" s="86">
        <v>46232.0</v>
      </c>
      <c r="I15" s="80" t="s">
        <v>14</v>
      </c>
      <c r="J15" s="82" t="s">
        <v>380</v>
      </c>
      <c r="K15" s="87"/>
      <c r="L15" s="87"/>
      <c r="M15" s="88"/>
      <c r="N15" s="14"/>
      <c r="O15" s="14"/>
      <c r="P15" s="14"/>
      <c r="Q15" s="14"/>
      <c r="R15" s="14"/>
      <c r="S15" s="14"/>
      <c r="T15" s="14"/>
      <c r="U15" s="14"/>
      <c r="V15" s="14"/>
      <c r="W15" s="14"/>
      <c r="X15" s="14"/>
      <c r="Y15" s="14"/>
      <c r="Z15" s="14"/>
      <c r="AA15" s="14"/>
    </row>
    <row r="16" ht="134.25" customHeight="1">
      <c r="A16" s="80" t="s">
        <v>381</v>
      </c>
      <c r="B16" s="81" t="s">
        <v>382</v>
      </c>
      <c r="C16" s="82" t="s">
        <v>383</v>
      </c>
      <c r="D16" s="83" t="s">
        <v>384</v>
      </c>
      <c r="E16" s="27"/>
      <c r="F16" s="27"/>
      <c r="G16" s="85" t="s">
        <v>385</v>
      </c>
      <c r="H16" s="86">
        <v>46232.0</v>
      </c>
      <c r="I16" s="80" t="s">
        <v>14</v>
      </c>
      <c r="J16" s="82" t="s">
        <v>386</v>
      </c>
      <c r="K16" s="87"/>
      <c r="L16" s="87"/>
      <c r="M16" s="88"/>
      <c r="N16" s="14"/>
      <c r="O16" s="14"/>
      <c r="P16" s="14"/>
      <c r="Q16" s="14"/>
      <c r="R16" s="14"/>
      <c r="S16" s="14"/>
      <c r="T16" s="14"/>
      <c r="U16" s="14"/>
      <c r="V16" s="14"/>
      <c r="W16" s="14"/>
      <c r="X16" s="14"/>
      <c r="Y16" s="14"/>
      <c r="Z16" s="14"/>
      <c r="AA16" s="14"/>
    </row>
    <row r="17">
      <c r="A17" s="79" t="s">
        <v>387</v>
      </c>
      <c r="B17" s="27"/>
      <c r="C17" s="27"/>
      <c r="D17" s="27"/>
      <c r="E17" s="27"/>
      <c r="F17" s="27"/>
      <c r="G17" s="27"/>
      <c r="H17" s="27"/>
      <c r="I17" s="27"/>
      <c r="J17" s="27"/>
      <c r="K17" s="27"/>
      <c r="L17" s="27"/>
      <c r="M17" s="28"/>
      <c r="N17" s="14"/>
      <c r="O17" s="14"/>
      <c r="P17" s="14"/>
      <c r="Q17" s="14"/>
      <c r="R17" s="14"/>
      <c r="S17" s="14"/>
      <c r="T17" s="14"/>
      <c r="U17" s="14"/>
      <c r="V17" s="14"/>
      <c r="W17" s="14"/>
      <c r="X17" s="14"/>
      <c r="Y17" s="14"/>
      <c r="Z17" s="14"/>
      <c r="AA17" s="14"/>
    </row>
    <row r="18" ht="117.0" customHeight="1">
      <c r="A18" s="80" t="s">
        <v>388</v>
      </c>
      <c r="B18" s="81" t="s">
        <v>389</v>
      </c>
      <c r="C18" s="82" t="s">
        <v>390</v>
      </c>
      <c r="D18" s="83" t="s">
        <v>391</v>
      </c>
      <c r="E18" s="27"/>
      <c r="F18" s="27"/>
      <c r="G18" s="85" t="s">
        <v>392</v>
      </c>
      <c r="H18" s="86">
        <v>46232.0</v>
      </c>
      <c r="I18" s="80" t="s">
        <v>15</v>
      </c>
      <c r="J18" s="82" t="s">
        <v>393</v>
      </c>
      <c r="K18" s="87"/>
      <c r="L18" s="87"/>
      <c r="M18" s="88"/>
      <c r="N18" s="14"/>
      <c r="O18" s="14"/>
      <c r="P18" s="14"/>
      <c r="Q18" s="14"/>
      <c r="R18" s="14"/>
      <c r="S18" s="14"/>
      <c r="T18" s="14"/>
      <c r="U18" s="14"/>
      <c r="V18" s="14"/>
      <c r="W18" s="14"/>
      <c r="X18" s="14"/>
      <c r="Y18" s="14"/>
      <c r="Z18" s="14"/>
      <c r="AA18" s="14"/>
    </row>
    <row r="19" ht="154.5" customHeight="1">
      <c r="A19" s="80" t="s">
        <v>394</v>
      </c>
      <c r="B19" s="81" t="s">
        <v>395</v>
      </c>
      <c r="C19" s="82" t="s">
        <v>396</v>
      </c>
      <c r="D19" s="83" t="s">
        <v>397</v>
      </c>
      <c r="E19" s="27"/>
      <c r="F19" s="27"/>
      <c r="G19" s="85" t="s">
        <v>398</v>
      </c>
      <c r="H19" s="86">
        <v>46232.0</v>
      </c>
      <c r="I19" s="80" t="s">
        <v>15</v>
      </c>
      <c r="J19" s="82" t="s">
        <v>399</v>
      </c>
      <c r="K19" s="86">
        <v>46233.0</v>
      </c>
      <c r="L19" s="80" t="s">
        <v>14</v>
      </c>
      <c r="M19" s="125" t="s">
        <v>400</v>
      </c>
      <c r="N19" s="14"/>
      <c r="O19" s="14"/>
      <c r="P19" s="14"/>
      <c r="Q19" s="14"/>
      <c r="R19" s="14"/>
      <c r="S19" s="14"/>
      <c r="T19" s="14"/>
      <c r="U19" s="14"/>
      <c r="V19" s="14"/>
      <c r="W19" s="14"/>
      <c r="X19" s="14"/>
      <c r="Y19" s="14"/>
      <c r="Z19" s="14"/>
      <c r="AA19" s="14"/>
    </row>
    <row r="20" ht="128.25" customHeight="1">
      <c r="A20" s="80" t="s">
        <v>401</v>
      </c>
      <c r="B20" s="81" t="s">
        <v>402</v>
      </c>
      <c r="C20" s="82" t="s">
        <v>403</v>
      </c>
      <c r="D20" s="83" t="s">
        <v>404</v>
      </c>
      <c r="E20" s="27"/>
      <c r="F20" s="27"/>
      <c r="G20" s="85" t="s">
        <v>405</v>
      </c>
      <c r="H20" s="86">
        <v>46232.0</v>
      </c>
      <c r="I20" s="80" t="s">
        <v>14</v>
      </c>
      <c r="J20" s="82" t="s">
        <v>406</v>
      </c>
      <c r="K20" s="87"/>
      <c r="L20" s="87"/>
      <c r="M20" s="88"/>
      <c r="N20" s="14"/>
      <c r="O20" s="14"/>
      <c r="P20" s="14"/>
      <c r="Q20" s="14"/>
      <c r="R20" s="14"/>
      <c r="S20" s="14"/>
      <c r="T20" s="14"/>
      <c r="U20" s="14"/>
      <c r="V20" s="14"/>
      <c r="W20" s="14"/>
      <c r="X20" s="14"/>
      <c r="Y20" s="14"/>
      <c r="Z20" s="14"/>
      <c r="AA20" s="14"/>
    </row>
    <row r="21" ht="126.0" customHeight="1">
      <c r="A21" s="80" t="s">
        <v>407</v>
      </c>
      <c r="B21" s="81" t="s">
        <v>408</v>
      </c>
      <c r="C21" s="82" t="s">
        <v>409</v>
      </c>
      <c r="D21" s="83" t="s">
        <v>410</v>
      </c>
      <c r="E21" s="27"/>
      <c r="F21" s="27"/>
      <c r="G21" s="85" t="s">
        <v>411</v>
      </c>
      <c r="H21" s="86">
        <v>46232.0</v>
      </c>
      <c r="I21" s="80" t="s">
        <v>15</v>
      </c>
      <c r="J21" s="82" t="s">
        <v>412</v>
      </c>
      <c r="K21" s="86">
        <v>46233.0</v>
      </c>
      <c r="L21" s="80" t="s">
        <v>14</v>
      </c>
      <c r="M21" s="125" t="s">
        <v>413</v>
      </c>
      <c r="N21" s="14"/>
      <c r="O21" s="14"/>
      <c r="P21" s="14"/>
      <c r="Q21" s="14"/>
      <c r="R21" s="14"/>
      <c r="S21" s="14"/>
      <c r="T21" s="14"/>
      <c r="U21" s="14"/>
      <c r="V21" s="14"/>
      <c r="W21" s="14"/>
      <c r="X21" s="14"/>
      <c r="Y21" s="14"/>
      <c r="Z21" s="14"/>
      <c r="AA21" s="14"/>
    </row>
    <row r="22" ht="111.75" customHeight="1">
      <c r="A22" s="80" t="s">
        <v>414</v>
      </c>
      <c r="B22" s="81" t="s">
        <v>415</v>
      </c>
      <c r="C22" s="82" t="s">
        <v>416</v>
      </c>
      <c r="D22" s="83" t="s">
        <v>417</v>
      </c>
      <c r="E22" s="27"/>
      <c r="F22" s="27"/>
      <c r="G22" s="85" t="s">
        <v>418</v>
      </c>
      <c r="H22" s="86">
        <v>46232.0</v>
      </c>
      <c r="I22" s="80" t="s">
        <v>15</v>
      </c>
      <c r="J22" s="82" t="s">
        <v>419</v>
      </c>
      <c r="K22" s="86">
        <v>46233.0</v>
      </c>
      <c r="L22" s="80" t="s">
        <v>14</v>
      </c>
      <c r="M22" s="125" t="s">
        <v>420</v>
      </c>
    </row>
    <row r="23">
      <c r="A23" s="79" t="s">
        <v>421</v>
      </c>
      <c r="B23" s="27"/>
      <c r="C23" s="27"/>
      <c r="D23" s="27"/>
      <c r="E23" s="27"/>
      <c r="F23" s="27"/>
      <c r="G23" s="27"/>
      <c r="H23" s="27"/>
      <c r="I23" s="27"/>
      <c r="J23" s="27"/>
      <c r="K23" s="27"/>
      <c r="L23" s="27"/>
      <c r="M23" s="28"/>
      <c r="N23" s="14"/>
      <c r="O23" s="14"/>
      <c r="P23" s="14"/>
      <c r="Q23" s="14"/>
      <c r="R23" s="14"/>
      <c r="S23" s="14"/>
      <c r="T23" s="14"/>
      <c r="U23" s="14"/>
      <c r="V23" s="14"/>
      <c r="W23" s="14"/>
      <c r="X23" s="14"/>
      <c r="Y23" s="14"/>
      <c r="Z23" s="14"/>
      <c r="AA23" s="14"/>
    </row>
    <row r="24" ht="126.75" customHeight="1">
      <c r="A24" s="80" t="s">
        <v>422</v>
      </c>
      <c r="B24" s="81" t="s">
        <v>423</v>
      </c>
      <c r="C24" s="82" t="s">
        <v>424</v>
      </c>
      <c r="D24" s="83" t="s">
        <v>425</v>
      </c>
      <c r="E24" s="27"/>
      <c r="F24" s="27"/>
      <c r="G24" s="85" t="s">
        <v>426</v>
      </c>
      <c r="H24" s="86">
        <v>46232.0</v>
      </c>
      <c r="I24" s="80" t="s">
        <v>14</v>
      </c>
      <c r="J24" s="82" t="s">
        <v>427</v>
      </c>
      <c r="K24" s="86"/>
      <c r="L24" s="80"/>
      <c r="M24" s="126"/>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27"/>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28"/>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27"/>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sheetData>
  <mergeCells count="29">
    <mergeCell ref="B1:D2"/>
    <mergeCell ref="B3:D3"/>
    <mergeCell ref="B4:D4"/>
    <mergeCell ref="B5:D5"/>
    <mergeCell ref="A9:A10"/>
    <mergeCell ref="B9:B10"/>
    <mergeCell ref="C9:C10"/>
    <mergeCell ref="D9:F10"/>
    <mergeCell ref="G9:G10"/>
    <mergeCell ref="H9:H10"/>
    <mergeCell ref="I9:I10"/>
    <mergeCell ref="J9:J10"/>
    <mergeCell ref="K9:K10"/>
    <mergeCell ref="L9:L10"/>
    <mergeCell ref="D16:F16"/>
    <mergeCell ref="D18:F18"/>
    <mergeCell ref="D19:F19"/>
    <mergeCell ref="D20:F20"/>
    <mergeCell ref="D21:F21"/>
    <mergeCell ref="D22:F22"/>
    <mergeCell ref="D24:F24"/>
    <mergeCell ref="M9:M10"/>
    <mergeCell ref="F11:M11"/>
    <mergeCell ref="A12:M12"/>
    <mergeCell ref="D13:F13"/>
    <mergeCell ref="A14:M14"/>
    <mergeCell ref="D15:F15"/>
    <mergeCell ref="A17:M17"/>
    <mergeCell ref="A23:M23"/>
  </mergeCells>
  <hyperlinks>
    <hyperlink r:id="rId1" ref="G13"/>
    <hyperlink r:id="rId2" ref="G15"/>
    <hyperlink r:id="rId3" ref="G16"/>
    <hyperlink r:id="rId4" ref="G18"/>
    <hyperlink r:id="rId5" ref="G19"/>
    <hyperlink r:id="rId6" ref="M19"/>
    <hyperlink r:id="rId7" ref="G20"/>
    <hyperlink r:id="rId8" ref="G21"/>
    <hyperlink r:id="rId9" ref="M21"/>
    <hyperlink r:id="rId10" ref="G22"/>
    <hyperlink r:id="rId11" ref="M22"/>
    <hyperlink r:id="rId12" ref="G24"/>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428</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429</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7.0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2.0</v>
      </c>
      <c r="C7" s="52" t="s">
        <v>36</v>
      </c>
      <c r="D7" s="49">
        <v>9.0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27"/>
      <c r="D11" s="27"/>
      <c r="E11" s="27"/>
      <c r="F11" s="27"/>
      <c r="G11" s="27"/>
      <c r="H11" s="27"/>
      <c r="I11" s="27"/>
      <c r="J11" s="27"/>
      <c r="K11" s="27"/>
      <c r="L11" s="27"/>
      <c r="M11" s="27"/>
      <c r="N11" s="14"/>
      <c r="O11" s="14"/>
      <c r="P11" s="14"/>
      <c r="Q11" s="14"/>
      <c r="R11" s="14"/>
      <c r="S11" s="14"/>
      <c r="T11" s="14"/>
      <c r="U11" s="14"/>
      <c r="V11" s="14"/>
      <c r="W11" s="14"/>
      <c r="X11" s="14"/>
      <c r="Y11" s="14"/>
      <c r="Z11" s="14"/>
      <c r="AA11" s="14"/>
    </row>
    <row r="12">
      <c r="A12" s="79" t="s">
        <v>430</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27.5" customHeight="1">
      <c r="A13" s="80" t="s">
        <v>431</v>
      </c>
      <c r="B13" s="81" t="s">
        <v>432</v>
      </c>
      <c r="C13" s="82" t="s">
        <v>433</v>
      </c>
      <c r="D13" s="83" t="s">
        <v>434</v>
      </c>
      <c r="E13" s="27"/>
      <c r="F13" s="27"/>
      <c r="G13" s="85" t="s">
        <v>435</v>
      </c>
      <c r="H13" s="86">
        <v>46233.0</v>
      </c>
      <c r="I13" s="80" t="s">
        <v>14</v>
      </c>
      <c r="J13" s="82" t="s">
        <v>436</v>
      </c>
      <c r="K13" s="87"/>
      <c r="L13" s="14"/>
      <c r="M13" s="88"/>
      <c r="N13" s="14"/>
      <c r="O13" s="14"/>
      <c r="P13" s="14"/>
      <c r="Q13" s="14"/>
      <c r="R13" s="14"/>
      <c r="S13" s="14"/>
      <c r="T13" s="14"/>
      <c r="U13" s="14"/>
      <c r="V13" s="14"/>
      <c r="W13" s="14"/>
      <c r="X13" s="14"/>
      <c r="Y13" s="14"/>
      <c r="Z13" s="14"/>
      <c r="AA13" s="14"/>
    </row>
    <row r="14" ht="112.5" customHeight="1">
      <c r="A14" s="80" t="s">
        <v>437</v>
      </c>
      <c r="B14" s="81" t="s">
        <v>438</v>
      </c>
      <c r="C14" s="82" t="s">
        <v>439</v>
      </c>
      <c r="D14" s="83" t="s">
        <v>440</v>
      </c>
      <c r="E14" s="27"/>
      <c r="F14" s="27"/>
      <c r="G14" s="85" t="s">
        <v>441</v>
      </c>
      <c r="H14" s="86">
        <v>46233.0</v>
      </c>
      <c r="I14" s="80" t="s">
        <v>14</v>
      </c>
      <c r="J14" s="82" t="s">
        <v>442</v>
      </c>
      <c r="K14" s="87"/>
      <c r="L14" s="87"/>
      <c r="M14" s="88"/>
      <c r="N14" s="14"/>
      <c r="O14" s="14"/>
      <c r="P14" s="14"/>
      <c r="Q14" s="14"/>
      <c r="R14" s="14"/>
      <c r="S14" s="14"/>
      <c r="T14" s="14"/>
      <c r="U14" s="14"/>
      <c r="V14" s="14"/>
      <c r="W14" s="14"/>
      <c r="X14" s="14"/>
      <c r="Y14" s="14"/>
      <c r="Z14" s="14"/>
      <c r="AA14" s="14"/>
    </row>
    <row r="15" ht="115.5" customHeight="1">
      <c r="A15" s="80" t="s">
        <v>443</v>
      </c>
      <c r="B15" s="81" t="s">
        <v>444</v>
      </c>
      <c r="C15" s="82" t="s">
        <v>445</v>
      </c>
      <c r="D15" s="83" t="s">
        <v>446</v>
      </c>
      <c r="E15" s="27"/>
      <c r="F15" s="27"/>
      <c r="G15" s="85" t="s">
        <v>447</v>
      </c>
      <c r="H15" s="86">
        <v>46233.0</v>
      </c>
      <c r="I15" s="80" t="s">
        <v>14</v>
      </c>
      <c r="J15" s="82" t="s">
        <v>448</v>
      </c>
      <c r="K15" s="87"/>
      <c r="L15" s="87"/>
      <c r="M15" s="88"/>
      <c r="N15" s="14"/>
      <c r="O15" s="14"/>
      <c r="P15" s="14"/>
      <c r="Q15" s="14"/>
      <c r="R15" s="14"/>
      <c r="S15" s="14"/>
      <c r="T15" s="14"/>
      <c r="U15" s="14"/>
      <c r="V15" s="14"/>
      <c r="W15" s="14"/>
      <c r="X15" s="14"/>
      <c r="Y15" s="14"/>
      <c r="Z15" s="14"/>
      <c r="AA15" s="14"/>
    </row>
    <row r="16" ht="183.75" customHeight="1">
      <c r="A16" s="80" t="s">
        <v>449</v>
      </c>
      <c r="B16" s="81" t="s">
        <v>450</v>
      </c>
      <c r="C16" s="82" t="s">
        <v>451</v>
      </c>
      <c r="D16" s="83" t="s">
        <v>452</v>
      </c>
      <c r="E16" s="27"/>
      <c r="F16" s="27"/>
      <c r="G16" s="85" t="s">
        <v>453</v>
      </c>
      <c r="H16" s="86">
        <v>46233.0</v>
      </c>
      <c r="I16" s="80" t="s">
        <v>14</v>
      </c>
      <c r="J16" s="82" t="s">
        <v>454</v>
      </c>
      <c r="K16" s="87"/>
      <c r="L16" s="87"/>
      <c r="M16" s="88"/>
      <c r="N16" s="14"/>
      <c r="O16" s="14"/>
      <c r="P16" s="14"/>
      <c r="Q16" s="14"/>
      <c r="R16" s="14"/>
      <c r="S16" s="14"/>
      <c r="T16" s="14"/>
      <c r="U16" s="14"/>
      <c r="V16" s="14"/>
      <c r="W16" s="14"/>
      <c r="X16" s="14"/>
      <c r="Y16" s="14"/>
      <c r="Z16" s="14"/>
      <c r="AA16" s="14"/>
    </row>
    <row r="17">
      <c r="A17" s="79" t="s">
        <v>455</v>
      </c>
      <c r="B17" s="27"/>
      <c r="C17" s="27"/>
      <c r="D17" s="27"/>
      <c r="E17" s="27"/>
      <c r="F17" s="27"/>
      <c r="G17" s="27"/>
      <c r="H17" s="27"/>
      <c r="I17" s="27"/>
      <c r="J17" s="27"/>
      <c r="K17" s="27"/>
      <c r="L17" s="27"/>
      <c r="M17" s="28"/>
      <c r="N17" s="14"/>
      <c r="O17" s="14"/>
      <c r="P17" s="14"/>
      <c r="Q17" s="14"/>
      <c r="R17" s="14"/>
      <c r="S17" s="14"/>
      <c r="T17" s="14"/>
      <c r="U17" s="14"/>
      <c r="V17" s="14"/>
      <c r="W17" s="14"/>
      <c r="X17" s="14"/>
      <c r="Y17" s="14"/>
      <c r="Z17" s="14"/>
      <c r="AA17" s="14"/>
    </row>
    <row r="18" ht="126.75" customHeight="1">
      <c r="A18" s="80" t="s">
        <v>456</v>
      </c>
      <c r="B18" s="81" t="s">
        <v>457</v>
      </c>
      <c r="C18" s="82" t="s">
        <v>458</v>
      </c>
      <c r="D18" s="83" t="s">
        <v>459</v>
      </c>
      <c r="E18" s="27"/>
      <c r="F18" s="27"/>
      <c r="G18" s="85" t="s">
        <v>460</v>
      </c>
      <c r="H18" s="86">
        <v>46233.0</v>
      </c>
      <c r="I18" s="80" t="s">
        <v>14</v>
      </c>
      <c r="J18" s="82" t="s">
        <v>461</v>
      </c>
      <c r="K18" s="86"/>
      <c r="L18" s="80"/>
      <c r="M18" s="126"/>
      <c r="N18" s="14"/>
      <c r="O18" s="14"/>
      <c r="P18" s="14"/>
      <c r="Q18" s="14"/>
      <c r="R18" s="14"/>
      <c r="S18" s="14"/>
      <c r="T18" s="14"/>
      <c r="U18" s="14"/>
      <c r="V18" s="14"/>
      <c r="W18" s="14"/>
      <c r="X18" s="14"/>
      <c r="Y18" s="14"/>
      <c r="Z18" s="14"/>
      <c r="AA18" s="14"/>
    </row>
    <row r="19">
      <c r="A19" s="79" t="s">
        <v>462</v>
      </c>
      <c r="B19" s="27"/>
      <c r="C19" s="27"/>
      <c r="D19" s="27"/>
      <c r="E19" s="27"/>
      <c r="F19" s="27"/>
      <c r="G19" s="27"/>
      <c r="H19" s="27"/>
      <c r="I19" s="27"/>
      <c r="J19" s="27"/>
      <c r="K19" s="27"/>
      <c r="L19" s="27"/>
      <c r="M19" s="28"/>
      <c r="N19" s="14"/>
      <c r="O19" s="14"/>
      <c r="P19" s="14"/>
      <c r="Q19" s="14"/>
      <c r="R19" s="14"/>
      <c r="S19" s="14"/>
      <c r="T19" s="14"/>
      <c r="U19" s="14"/>
      <c r="V19" s="14"/>
      <c r="W19" s="14"/>
      <c r="X19" s="14"/>
      <c r="Y19" s="14"/>
      <c r="Z19" s="14"/>
      <c r="AA19" s="14"/>
    </row>
    <row r="20" ht="128.25" customHeight="1">
      <c r="A20" s="80" t="s">
        <v>463</v>
      </c>
      <c r="B20" s="81" t="s">
        <v>464</v>
      </c>
      <c r="C20" s="82" t="s">
        <v>465</v>
      </c>
      <c r="D20" s="83" t="s">
        <v>466</v>
      </c>
      <c r="E20" s="27"/>
      <c r="F20" s="27"/>
      <c r="G20" s="129" t="s">
        <v>467</v>
      </c>
      <c r="H20" s="86">
        <v>46233.0</v>
      </c>
      <c r="I20" s="80" t="s">
        <v>14</v>
      </c>
      <c r="J20" s="82" t="s">
        <v>468</v>
      </c>
      <c r="K20" s="87"/>
      <c r="L20" s="87"/>
      <c r="M20" s="88"/>
      <c r="N20" s="14"/>
      <c r="O20" s="14"/>
      <c r="P20" s="14"/>
      <c r="Q20" s="14"/>
      <c r="R20" s="14"/>
      <c r="S20" s="14"/>
      <c r="T20" s="14"/>
      <c r="U20" s="14"/>
      <c r="V20" s="14"/>
      <c r="W20" s="14"/>
      <c r="X20" s="14"/>
      <c r="Y20" s="14"/>
      <c r="Z20" s="14"/>
      <c r="AA20" s="14"/>
    </row>
    <row r="21" ht="126.0" customHeight="1">
      <c r="A21" s="80" t="s">
        <v>469</v>
      </c>
      <c r="B21" s="81" t="s">
        <v>470</v>
      </c>
      <c r="C21" s="82" t="s">
        <v>471</v>
      </c>
      <c r="D21" s="83" t="s">
        <v>472</v>
      </c>
      <c r="E21" s="27"/>
      <c r="F21" s="27"/>
      <c r="G21" s="85" t="s">
        <v>473</v>
      </c>
      <c r="H21" s="86">
        <v>46233.0</v>
      </c>
      <c r="I21" s="80" t="s">
        <v>15</v>
      </c>
      <c r="J21" s="82" t="s">
        <v>474</v>
      </c>
      <c r="K21" s="86">
        <v>46234.0</v>
      </c>
      <c r="L21" s="80" t="s">
        <v>14</v>
      </c>
      <c r="M21" s="125" t="s">
        <v>475</v>
      </c>
      <c r="N21" s="14"/>
      <c r="O21" s="14"/>
      <c r="P21" s="14"/>
      <c r="Q21" s="14"/>
      <c r="R21" s="14"/>
      <c r="S21" s="14"/>
      <c r="T21" s="14"/>
      <c r="U21" s="14"/>
      <c r="V21" s="14"/>
      <c r="W21" s="14"/>
      <c r="X21" s="14"/>
      <c r="Y21" s="14"/>
      <c r="Z21" s="14"/>
      <c r="AA21" s="14"/>
    </row>
    <row r="22" ht="152.25" customHeight="1">
      <c r="A22" s="80" t="s">
        <v>476</v>
      </c>
      <c r="B22" s="81" t="s">
        <v>477</v>
      </c>
      <c r="C22" s="82" t="s">
        <v>478</v>
      </c>
      <c r="D22" s="83" t="s">
        <v>479</v>
      </c>
      <c r="E22" s="27"/>
      <c r="F22" s="27"/>
      <c r="G22" s="85" t="s">
        <v>480</v>
      </c>
      <c r="H22" s="86">
        <v>46233.0</v>
      </c>
      <c r="I22" s="80" t="s">
        <v>15</v>
      </c>
      <c r="J22" s="82" t="s">
        <v>481</v>
      </c>
      <c r="K22" s="86">
        <v>46234.0</v>
      </c>
      <c r="L22" s="80" t="s">
        <v>14</v>
      </c>
      <c r="M22" s="125" t="s">
        <v>482</v>
      </c>
      <c r="N22" s="14"/>
      <c r="O22" s="14"/>
      <c r="P22" s="14"/>
      <c r="Q22" s="14"/>
      <c r="R22" s="14"/>
      <c r="S22" s="14"/>
      <c r="T22" s="14"/>
      <c r="U22" s="14"/>
      <c r="V22" s="14"/>
      <c r="W22" s="14"/>
      <c r="X22" s="14"/>
      <c r="Y22" s="14"/>
      <c r="Z22" s="14"/>
      <c r="AA22" s="14"/>
    </row>
    <row r="23" ht="156.75" customHeight="1">
      <c r="A23" s="80" t="s">
        <v>483</v>
      </c>
      <c r="B23" s="81" t="s">
        <v>484</v>
      </c>
      <c r="C23" s="82" t="s">
        <v>485</v>
      </c>
      <c r="D23" s="83" t="s">
        <v>486</v>
      </c>
      <c r="E23" s="27"/>
      <c r="F23" s="27"/>
      <c r="G23" s="85" t="s">
        <v>487</v>
      </c>
      <c r="H23" s="86">
        <v>46233.0</v>
      </c>
      <c r="I23" s="80" t="s">
        <v>14</v>
      </c>
      <c r="J23" s="82" t="s">
        <v>488</v>
      </c>
      <c r="K23" s="86"/>
      <c r="L23" s="80"/>
      <c r="M23" s="126"/>
      <c r="N23" s="14"/>
      <c r="O23" s="14"/>
      <c r="P23" s="14"/>
      <c r="Q23" s="14"/>
      <c r="R23" s="14"/>
      <c r="S23" s="14"/>
      <c r="T23" s="14"/>
      <c r="U23" s="14"/>
      <c r="V23" s="14"/>
      <c r="W23" s="14"/>
      <c r="X23" s="14"/>
      <c r="Y23" s="14"/>
      <c r="Z23" s="14"/>
      <c r="AA23" s="14"/>
    </row>
    <row r="24" ht="126.0" customHeight="1">
      <c r="A24" s="130"/>
      <c r="B24" s="131"/>
      <c r="C24" s="127"/>
      <c r="D24" s="127"/>
      <c r="E24" s="127"/>
      <c r="F24" s="127"/>
      <c r="G24" s="127"/>
      <c r="H24" s="132"/>
      <c r="I24" s="130"/>
      <c r="J24" s="127"/>
      <c r="K24" s="132"/>
      <c r="L24" s="130"/>
      <c r="M24" s="133"/>
      <c r="N24" s="14"/>
      <c r="O24" s="14"/>
      <c r="P24" s="14"/>
      <c r="Q24" s="14"/>
      <c r="R24" s="14"/>
      <c r="S24" s="14"/>
      <c r="T24" s="14"/>
      <c r="U24" s="14"/>
      <c r="V24" s="14"/>
      <c r="W24" s="14"/>
      <c r="X24" s="14"/>
      <c r="Y24" s="14"/>
      <c r="Z24" s="14"/>
      <c r="AA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27"/>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28"/>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27"/>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1:F21"/>
    <mergeCell ref="D22:F22"/>
    <mergeCell ref="D23:F23"/>
    <mergeCell ref="D9:F10"/>
    <mergeCell ref="B11:M11"/>
    <mergeCell ref="A12:M12"/>
    <mergeCell ref="D13:F13"/>
    <mergeCell ref="D14:F14"/>
    <mergeCell ref="D15:F15"/>
    <mergeCell ref="A17:M17"/>
    <mergeCell ref="A19:M19"/>
  </mergeCells>
  <hyperlinks>
    <hyperlink r:id="rId1" ref="G13"/>
    <hyperlink r:id="rId2" ref="G14"/>
    <hyperlink r:id="rId3" ref="G15"/>
    <hyperlink r:id="rId4" ref="G16"/>
    <hyperlink r:id="rId5" ref="G18"/>
    <hyperlink r:id="rId6" ref="G20"/>
    <hyperlink r:id="rId7" ref="G21"/>
    <hyperlink r:id="rId8" ref="M21"/>
    <hyperlink r:id="rId9" ref="G22"/>
    <hyperlink r:id="rId10" ref="M22"/>
    <hyperlink r:id="rId11" ref="G2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489</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490</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13.0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7.0</v>
      </c>
      <c r="C7" s="52" t="s">
        <v>36</v>
      </c>
      <c r="D7" s="49">
        <v>20.0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27"/>
      <c r="D11" s="27"/>
      <c r="E11" s="27"/>
      <c r="F11" s="27"/>
      <c r="G11" s="27"/>
      <c r="H11" s="27"/>
      <c r="I11" s="27"/>
      <c r="J11" s="27"/>
      <c r="K11" s="27"/>
      <c r="L11" s="27"/>
      <c r="M11" s="27"/>
      <c r="N11" s="14"/>
      <c r="O11" s="14"/>
      <c r="P11" s="14"/>
      <c r="Q11" s="14"/>
      <c r="R11" s="14"/>
      <c r="S11" s="14"/>
      <c r="T11" s="14"/>
      <c r="U11" s="14"/>
      <c r="V11" s="14"/>
      <c r="W11" s="14"/>
      <c r="X11" s="14"/>
      <c r="Y11" s="14"/>
      <c r="Z11" s="14"/>
      <c r="AA11" s="14"/>
    </row>
    <row r="12">
      <c r="A12" s="79" t="s">
        <v>491</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38.75" customHeight="1">
      <c r="A13" s="80" t="s">
        <v>492</v>
      </c>
      <c r="B13" s="81" t="s">
        <v>493</v>
      </c>
      <c r="C13" s="82" t="s">
        <v>494</v>
      </c>
      <c r="D13" s="83" t="s">
        <v>495</v>
      </c>
      <c r="E13" s="27"/>
      <c r="F13" s="27"/>
      <c r="G13" s="85" t="s">
        <v>496</v>
      </c>
      <c r="H13" s="86">
        <v>46240.0</v>
      </c>
      <c r="I13" s="80" t="s">
        <v>14</v>
      </c>
      <c r="J13" s="82" t="s">
        <v>497</v>
      </c>
      <c r="K13" s="87"/>
      <c r="L13" s="87"/>
      <c r="M13" s="88"/>
      <c r="N13" s="14"/>
      <c r="O13" s="14"/>
      <c r="P13" s="14"/>
      <c r="Q13" s="14"/>
      <c r="R13" s="14"/>
      <c r="S13" s="14"/>
      <c r="T13" s="14"/>
      <c r="U13" s="14"/>
      <c r="V13" s="14"/>
      <c r="W13" s="14"/>
      <c r="X13" s="14"/>
      <c r="Y13" s="14"/>
      <c r="Z13" s="14"/>
      <c r="AA13" s="14"/>
    </row>
    <row r="14" ht="15.75" customHeight="1">
      <c r="A14" s="79" t="s">
        <v>498</v>
      </c>
      <c r="B14" s="27"/>
      <c r="C14" s="27"/>
      <c r="D14" s="27"/>
      <c r="E14" s="27"/>
      <c r="F14" s="27"/>
      <c r="G14" s="27"/>
      <c r="H14" s="27"/>
      <c r="I14" s="27"/>
      <c r="J14" s="27"/>
      <c r="K14" s="27"/>
      <c r="L14" s="27"/>
      <c r="M14" s="28"/>
      <c r="N14" s="14"/>
      <c r="O14" s="14"/>
      <c r="P14" s="14"/>
      <c r="Q14" s="14"/>
      <c r="R14" s="14"/>
      <c r="S14" s="14"/>
      <c r="T14" s="14"/>
      <c r="U14" s="14"/>
      <c r="V14" s="14"/>
      <c r="W14" s="14"/>
      <c r="X14" s="14"/>
      <c r="Y14" s="14"/>
      <c r="Z14" s="14"/>
      <c r="AA14" s="14"/>
    </row>
    <row r="15" ht="130.5" customHeight="1">
      <c r="A15" s="80" t="s">
        <v>499</v>
      </c>
      <c r="B15" s="81" t="s">
        <v>500</v>
      </c>
      <c r="C15" s="82" t="s">
        <v>501</v>
      </c>
      <c r="D15" s="83" t="s">
        <v>502</v>
      </c>
      <c r="E15" s="27"/>
      <c r="F15" s="27"/>
      <c r="G15" s="85" t="s">
        <v>503</v>
      </c>
      <c r="H15" s="86">
        <v>46240.0</v>
      </c>
      <c r="I15" s="80" t="s">
        <v>15</v>
      </c>
      <c r="J15" s="82" t="s">
        <v>504</v>
      </c>
      <c r="K15" s="86">
        <v>46240.0</v>
      </c>
      <c r="L15" s="80" t="s">
        <v>14</v>
      </c>
      <c r="M15" s="85" t="s">
        <v>505</v>
      </c>
      <c r="N15" s="14"/>
      <c r="O15" s="14"/>
      <c r="P15" s="14"/>
      <c r="Q15" s="14"/>
      <c r="R15" s="14"/>
      <c r="S15" s="14"/>
      <c r="T15" s="14"/>
      <c r="U15" s="14"/>
      <c r="V15" s="14"/>
      <c r="W15" s="14"/>
      <c r="X15" s="14"/>
      <c r="Y15" s="14"/>
      <c r="Z15" s="14"/>
      <c r="AA15" s="14"/>
    </row>
    <row r="16" ht="183.75" customHeight="1">
      <c r="A16" s="80" t="s">
        <v>506</v>
      </c>
      <c r="B16" s="81" t="s">
        <v>507</v>
      </c>
      <c r="C16" s="82" t="s">
        <v>508</v>
      </c>
      <c r="D16" s="83" t="s">
        <v>509</v>
      </c>
      <c r="E16" s="27"/>
      <c r="F16" s="27"/>
      <c r="G16" s="85" t="s">
        <v>510</v>
      </c>
      <c r="H16" s="86">
        <v>46240.0</v>
      </c>
      <c r="I16" s="80" t="s">
        <v>15</v>
      </c>
      <c r="J16" s="82" t="s">
        <v>504</v>
      </c>
      <c r="K16" s="86">
        <v>46240.0</v>
      </c>
      <c r="L16" s="80" t="s">
        <v>14</v>
      </c>
      <c r="M16" s="85" t="s">
        <v>511</v>
      </c>
      <c r="N16" s="14"/>
      <c r="O16" s="14"/>
      <c r="P16" s="14"/>
      <c r="Q16" s="14"/>
      <c r="R16" s="14"/>
      <c r="S16" s="14"/>
      <c r="T16" s="14"/>
      <c r="U16" s="14"/>
      <c r="V16" s="14"/>
      <c r="W16" s="14"/>
      <c r="X16" s="14"/>
      <c r="Y16" s="14"/>
      <c r="Z16" s="14"/>
      <c r="AA16" s="14"/>
    </row>
    <row r="17" ht="183.75" customHeight="1">
      <c r="A17" s="80" t="s">
        <v>512</v>
      </c>
      <c r="B17" s="81" t="s">
        <v>513</v>
      </c>
      <c r="C17" s="82" t="s">
        <v>514</v>
      </c>
      <c r="D17" s="83" t="s">
        <v>515</v>
      </c>
      <c r="E17" s="27"/>
      <c r="F17" s="27"/>
      <c r="G17" s="85" t="s">
        <v>516</v>
      </c>
      <c r="H17" s="86">
        <v>46240.0</v>
      </c>
      <c r="I17" s="80" t="s">
        <v>15</v>
      </c>
      <c r="J17" s="82" t="s">
        <v>504</v>
      </c>
      <c r="K17" s="86">
        <v>46240.0</v>
      </c>
      <c r="L17" s="80" t="s">
        <v>14</v>
      </c>
      <c r="M17" s="85" t="s">
        <v>517</v>
      </c>
      <c r="N17" s="14"/>
      <c r="O17" s="14"/>
      <c r="P17" s="14"/>
      <c r="Q17" s="14"/>
      <c r="R17" s="14"/>
      <c r="S17" s="14"/>
      <c r="T17" s="14"/>
      <c r="U17" s="14"/>
      <c r="V17" s="14"/>
      <c r="W17" s="14"/>
      <c r="X17" s="14"/>
      <c r="Y17" s="14"/>
      <c r="Z17" s="14"/>
      <c r="AA17" s="14"/>
    </row>
    <row r="18">
      <c r="A18" s="79" t="s">
        <v>518</v>
      </c>
      <c r="B18" s="27"/>
      <c r="C18" s="27"/>
      <c r="D18" s="27"/>
      <c r="E18" s="27"/>
      <c r="F18" s="27"/>
      <c r="G18" s="27"/>
      <c r="H18" s="27"/>
      <c r="I18" s="27"/>
      <c r="J18" s="27"/>
      <c r="K18" s="27"/>
      <c r="L18" s="27"/>
      <c r="M18" s="28"/>
      <c r="N18" s="14"/>
      <c r="O18" s="14"/>
      <c r="P18" s="14"/>
      <c r="Q18" s="14"/>
      <c r="R18" s="14"/>
      <c r="S18" s="14"/>
      <c r="T18" s="14"/>
      <c r="U18" s="14"/>
      <c r="V18" s="14"/>
      <c r="W18" s="14"/>
      <c r="X18" s="14"/>
      <c r="Y18" s="14"/>
      <c r="Z18" s="14"/>
      <c r="AA18" s="14"/>
    </row>
    <row r="19" ht="126.75" customHeight="1">
      <c r="A19" s="80" t="s">
        <v>519</v>
      </c>
      <c r="B19" s="81" t="s">
        <v>520</v>
      </c>
      <c r="C19" s="82" t="s">
        <v>521</v>
      </c>
      <c r="D19" s="83" t="s">
        <v>522</v>
      </c>
      <c r="E19" s="27"/>
      <c r="F19" s="27"/>
      <c r="G19" s="85" t="s">
        <v>523</v>
      </c>
      <c r="H19" s="86">
        <v>46240.0</v>
      </c>
      <c r="I19" s="80" t="s">
        <v>14</v>
      </c>
      <c r="J19" s="82" t="s">
        <v>524</v>
      </c>
      <c r="K19" s="86"/>
      <c r="L19" s="80"/>
      <c r="M19" s="82"/>
      <c r="N19" s="14"/>
      <c r="O19" s="14"/>
      <c r="P19" s="14"/>
      <c r="Q19" s="14"/>
      <c r="R19" s="14"/>
      <c r="S19" s="14"/>
      <c r="T19" s="14"/>
      <c r="U19" s="14"/>
      <c r="V19" s="14"/>
      <c r="W19" s="14"/>
      <c r="X19" s="14"/>
      <c r="Y19" s="14"/>
      <c r="Z19" s="14"/>
      <c r="AA19" s="14"/>
    </row>
    <row r="20" ht="126.75" customHeight="1">
      <c r="A20" s="80" t="s">
        <v>525</v>
      </c>
      <c r="B20" s="81" t="s">
        <v>526</v>
      </c>
      <c r="C20" s="82" t="s">
        <v>527</v>
      </c>
      <c r="D20" s="83" t="s">
        <v>528</v>
      </c>
      <c r="E20" s="27"/>
      <c r="F20" s="27"/>
      <c r="G20" s="85" t="s">
        <v>529</v>
      </c>
      <c r="H20" s="86">
        <v>46240.0</v>
      </c>
      <c r="I20" s="80" t="s">
        <v>14</v>
      </c>
      <c r="J20" s="82" t="s">
        <v>530</v>
      </c>
      <c r="K20" s="86"/>
      <c r="L20" s="80"/>
      <c r="M20" s="82"/>
      <c r="N20" s="14"/>
      <c r="O20" s="14"/>
      <c r="P20" s="14"/>
      <c r="Q20" s="14"/>
      <c r="R20" s="14"/>
      <c r="S20" s="14"/>
      <c r="T20" s="14"/>
      <c r="U20" s="14"/>
      <c r="V20" s="14"/>
      <c r="W20" s="14"/>
      <c r="X20" s="14"/>
      <c r="Y20" s="14"/>
      <c r="Z20" s="14"/>
      <c r="AA20" s="14"/>
    </row>
    <row r="21">
      <c r="A21" s="79" t="s">
        <v>531</v>
      </c>
      <c r="B21" s="27"/>
      <c r="C21" s="27"/>
      <c r="D21" s="27"/>
      <c r="E21" s="27"/>
      <c r="F21" s="27"/>
      <c r="G21" s="27"/>
      <c r="H21" s="27"/>
      <c r="I21" s="27"/>
      <c r="J21" s="27"/>
      <c r="K21" s="27"/>
      <c r="L21" s="27"/>
      <c r="M21" s="28"/>
      <c r="N21" s="134"/>
      <c r="AA21" s="14"/>
    </row>
    <row r="22" ht="128.25" customHeight="1">
      <c r="A22" s="80" t="s">
        <v>532</v>
      </c>
      <c r="B22" s="81" t="s">
        <v>533</v>
      </c>
      <c r="C22" s="82" t="s">
        <v>534</v>
      </c>
      <c r="D22" s="83" t="s">
        <v>535</v>
      </c>
      <c r="E22" s="27"/>
      <c r="F22" s="27"/>
      <c r="G22" s="129" t="s">
        <v>536</v>
      </c>
      <c r="H22" s="86">
        <v>46240.0</v>
      </c>
      <c r="I22" s="80" t="s">
        <v>15</v>
      </c>
      <c r="J22" s="82" t="s">
        <v>537</v>
      </c>
      <c r="K22" s="87"/>
      <c r="L22" s="87"/>
      <c r="M22" s="88"/>
      <c r="N22" s="14"/>
      <c r="O22" s="14"/>
      <c r="P22" s="14"/>
      <c r="Q22" s="14"/>
      <c r="R22" s="14"/>
      <c r="S22" s="14"/>
      <c r="T22" s="14"/>
      <c r="U22" s="14"/>
      <c r="V22" s="14"/>
      <c r="W22" s="14"/>
      <c r="X22" s="14"/>
      <c r="Y22" s="14"/>
      <c r="Z22" s="14"/>
      <c r="AA22" s="14"/>
    </row>
    <row r="23">
      <c r="A23" s="79" t="s">
        <v>538</v>
      </c>
      <c r="B23" s="27"/>
      <c r="C23" s="27"/>
      <c r="D23" s="27"/>
      <c r="E23" s="27"/>
      <c r="F23" s="27"/>
      <c r="G23" s="27"/>
      <c r="H23" s="27"/>
      <c r="I23" s="27"/>
      <c r="J23" s="27"/>
      <c r="K23" s="27"/>
      <c r="L23" s="27"/>
      <c r="M23" s="28"/>
      <c r="N23" s="135"/>
      <c r="AA23" s="14"/>
    </row>
    <row r="24" ht="126.0" customHeight="1">
      <c r="A24" s="80" t="s">
        <v>539</v>
      </c>
      <c r="B24" s="81" t="s">
        <v>540</v>
      </c>
      <c r="C24" s="82" t="s">
        <v>541</v>
      </c>
      <c r="D24" s="83" t="s">
        <v>542</v>
      </c>
      <c r="E24" s="27"/>
      <c r="F24" s="27"/>
      <c r="G24" s="85" t="s">
        <v>543</v>
      </c>
      <c r="H24" s="86">
        <v>46240.0</v>
      </c>
      <c r="I24" s="80" t="s">
        <v>15</v>
      </c>
      <c r="J24" s="82" t="s">
        <v>544</v>
      </c>
      <c r="K24" s="86">
        <v>46241.0</v>
      </c>
      <c r="L24" s="80" t="s">
        <v>14</v>
      </c>
      <c r="M24" s="85" t="s">
        <v>545</v>
      </c>
      <c r="N24" s="14"/>
      <c r="O24" s="14"/>
      <c r="P24" s="14"/>
      <c r="Q24" s="14"/>
      <c r="R24" s="14"/>
      <c r="S24" s="14"/>
      <c r="T24" s="14"/>
      <c r="U24" s="14"/>
      <c r="V24" s="14"/>
      <c r="W24" s="14"/>
      <c r="X24" s="14"/>
      <c r="Y24" s="14"/>
      <c r="Z24" s="14"/>
      <c r="AA24" s="14"/>
    </row>
    <row r="25" ht="152.25" customHeight="1">
      <c r="A25" s="80" t="s">
        <v>546</v>
      </c>
      <c r="B25" s="81" t="s">
        <v>547</v>
      </c>
      <c r="C25" s="82" t="s">
        <v>548</v>
      </c>
      <c r="D25" s="83" t="s">
        <v>549</v>
      </c>
      <c r="E25" s="27"/>
      <c r="F25" s="27"/>
      <c r="G25" s="136" t="s">
        <v>550</v>
      </c>
      <c r="H25" s="86">
        <v>46240.0</v>
      </c>
      <c r="I25" s="80" t="s">
        <v>14</v>
      </c>
      <c r="J25" s="82" t="s">
        <v>551</v>
      </c>
      <c r="K25" s="86"/>
      <c r="L25" s="80"/>
      <c r="M25" s="126"/>
      <c r="N25" s="14"/>
      <c r="O25" s="14"/>
      <c r="P25" s="14"/>
      <c r="Q25" s="14"/>
      <c r="R25" s="14"/>
      <c r="S25" s="14"/>
      <c r="T25" s="14"/>
      <c r="U25" s="14"/>
      <c r="V25" s="14"/>
      <c r="W25" s="14"/>
      <c r="X25" s="14"/>
      <c r="Y25" s="14"/>
      <c r="Z25" s="14"/>
      <c r="AA25" s="14"/>
    </row>
    <row r="26" ht="156.75" customHeight="1">
      <c r="A26" s="80" t="s">
        <v>552</v>
      </c>
      <c r="B26" s="81" t="s">
        <v>553</v>
      </c>
      <c r="C26" s="82" t="s">
        <v>554</v>
      </c>
      <c r="D26" s="83" t="s">
        <v>555</v>
      </c>
      <c r="E26" s="27"/>
      <c r="F26" s="27"/>
      <c r="G26" s="85" t="s">
        <v>556</v>
      </c>
      <c r="H26" s="86">
        <v>46240.0</v>
      </c>
      <c r="I26" s="80" t="s">
        <v>14</v>
      </c>
      <c r="J26" s="82" t="s">
        <v>557</v>
      </c>
      <c r="K26" s="86"/>
      <c r="L26" s="80"/>
      <c r="M26" s="126"/>
      <c r="N26" s="14"/>
      <c r="O26" s="14"/>
      <c r="P26" s="14"/>
      <c r="Q26" s="14"/>
      <c r="R26" s="14"/>
      <c r="S26" s="14"/>
      <c r="T26" s="14"/>
      <c r="U26" s="14"/>
      <c r="V26" s="14"/>
      <c r="W26" s="14"/>
      <c r="X26" s="14"/>
      <c r="Y26" s="14"/>
      <c r="Z26" s="14"/>
      <c r="AA26" s="14"/>
    </row>
    <row r="27" ht="156.75" customHeight="1">
      <c r="A27" s="80" t="s">
        <v>558</v>
      </c>
      <c r="B27" s="81" t="s">
        <v>559</v>
      </c>
      <c r="C27" s="82" t="s">
        <v>560</v>
      </c>
      <c r="D27" s="83" t="s">
        <v>561</v>
      </c>
      <c r="E27" s="27"/>
      <c r="F27" s="27"/>
      <c r="G27" s="85" t="s">
        <v>562</v>
      </c>
      <c r="H27" s="86">
        <v>46240.0</v>
      </c>
      <c r="I27" s="80" t="s">
        <v>15</v>
      </c>
      <c r="J27" s="82" t="s">
        <v>563</v>
      </c>
      <c r="K27" s="86">
        <v>46241.0</v>
      </c>
      <c r="L27" s="80" t="s">
        <v>14</v>
      </c>
      <c r="M27" s="85" t="s">
        <v>564</v>
      </c>
      <c r="N27" s="14"/>
      <c r="O27" s="14"/>
      <c r="P27" s="14"/>
      <c r="Q27" s="14"/>
      <c r="R27" s="14"/>
      <c r="S27" s="14"/>
      <c r="T27" s="14"/>
      <c r="U27" s="14"/>
      <c r="V27" s="14"/>
      <c r="W27" s="14"/>
      <c r="X27" s="14"/>
      <c r="Y27" s="14"/>
      <c r="Z27" s="14"/>
      <c r="AA27" s="14"/>
    </row>
    <row r="28" ht="15.75" customHeight="1">
      <c r="A28" s="79" t="s">
        <v>565</v>
      </c>
      <c r="B28" s="27"/>
      <c r="C28" s="27"/>
      <c r="D28" s="27"/>
      <c r="E28" s="27"/>
      <c r="F28" s="27"/>
      <c r="G28" s="27"/>
      <c r="H28" s="27"/>
      <c r="I28" s="27"/>
      <c r="J28" s="27"/>
      <c r="K28" s="27"/>
      <c r="L28" s="27"/>
      <c r="M28" s="28"/>
      <c r="N28" s="14"/>
      <c r="O28" s="14"/>
      <c r="P28" s="14"/>
      <c r="Q28" s="14"/>
      <c r="R28" s="14"/>
      <c r="S28" s="14"/>
      <c r="T28" s="14"/>
      <c r="U28" s="14"/>
      <c r="V28" s="14"/>
      <c r="W28" s="14"/>
      <c r="X28" s="14"/>
      <c r="Y28" s="14"/>
      <c r="Z28" s="14"/>
      <c r="AA28" s="14"/>
    </row>
    <row r="29" ht="156.75" customHeight="1">
      <c r="A29" s="80" t="s">
        <v>566</v>
      </c>
      <c r="B29" s="81" t="s">
        <v>567</v>
      </c>
      <c r="C29" s="82" t="s">
        <v>568</v>
      </c>
      <c r="D29" s="83" t="s">
        <v>569</v>
      </c>
      <c r="E29" s="27"/>
      <c r="F29" s="27"/>
      <c r="G29" s="85" t="s">
        <v>570</v>
      </c>
      <c r="H29" s="86">
        <v>46240.0</v>
      </c>
      <c r="I29" s="80" t="s">
        <v>14</v>
      </c>
      <c r="J29" s="82" t="s">
        <v>571</v>
      </c>
      <c r="K29" s="86"/>
      <c r="L29" s="80"/>
      <c r="M29" s="126"/>
      <c r="N29" s="14"/>
      <c r="O29" s="14"/>
      <c r="P29" s="14"/>
      <c r="Q29" s="14"/>
      <c r="R29" s="14"/>
      <c r="S29" s="14"/>
      <c r="T29" s="14"/>
      <c r="U29" s="14"/>
      <c r="V29" s="14"/>
      <c r="W29" s="14"/>
      <c r="X29" s="14"/>
      <c r="Y29" s="14"/>
      <c r="Z29" s="14"/>
      <c r="AA29" s="14"/>
    </row>
    <row r="30" ht="156.75" customHeight="1">
      <c r="A30" s="80" t="s">
        <v>572</v>
      </c>
      <c r="B30" s="81" t="s">
        <v>573</v>
      </c>
      <c r="C30" s="82" t="s">
        <v>574</v>
      </c>
      <c r="D30" s="83" t="s">
        <v>575</v>
      </c>
      <c r="E30" s="27"/>
      <c r="F30" s="27"/>
      <c r="G30" s="85" t="s">
        <v>576</v>
      </c>
      <c r="H30" s="86">
        <v>46240.0</v>
      </c>
      <c r="I30" s="80" t="s">
        <v>14</v>
      </c>
      <c r="J30" s="82" t="s">
        <v>577</v>
      </c>
      <c r="K30" s="86"/>
      <c r="L30" s="80"/>
      <c r="M30" s="126"/>
      <c r="N30" s="14"/>
      <c r="O30" s="14"/>
      <c r="P30" s="14"/>
      <c r="Q30" s="14"/>
      <c r="R30" s="14"/>
      <c r="S30" s="14"/>
      <c r="T30" s="14"/>
      <c r="U30" s="14"/>
      <c r="V30" s="14"/>
      <c r="W30" s="14"/>
      <c r="X30" s="14"/>
      <c r="Y30" s="14"/>
      <c r="Z30" s="14"/>
      <c r="AA30" s="14"/>
    </row>
    <row r="31" ht="15.75" customHeight="1">
      <c r="A31" s="79" t="s">
        <v>578</v>
      </c>
      <c r="B31" s="27"/>
      <c r="C31" s="27"/>
      <c r="D31" s="27"/>
      <c r="E31" s="27"/>
      <c r="F31" s="27"/>
      <c r="G31" s="27"/>
      <c r="H31" s="27"/>
      <c r="I31" s="27"/>
      <c r="J31" s="27"/>
      <c r="K31" s="27"/>
      <c r="L31" s="27"/>
      <c r="M31" s="28"/>
      <c r="N31" s="14"/>
      <c r="O31" s="14"/>
      <c r="P31" s="14"/>
      <c r="Q31" s="14"/>
      <c r="R31" s="14"/>
      <c r="S31" s="14"/>
      <c r="T31" s="14"/>
      <c r="U31" s="14"/>
      <c r="V31" s="14"/>
      <c r="W31" s="14"/>
      <c r="X31" s="14"/>
      <c r="Y31" s="14"/>
      <c r="Z31" s="14"/>
      <c r="AA31" s="14"/>
    </row>
    <row r="32" ht="156.75" customHeight="1">
      <c r="A32" s="80" t="s">
        <v>579</v>
      </c>
      <c r="B32" s="81" t="s">
        <v>580</v>
      </c>
      <c r="C32" s="82" t="s">
        <v>581</v>
      </c>
      <c r="D32" s="83" t="s">
        <v>582</v>
      </c>
      <c r="E32" s="27"/>
      <c r="F32" s="27"/>
      <c r="G32" s="85" t="s">
        <v>583</v>
      </c>
      <c r="H32" s="86">
        <v>46242.0</v>
      </c>
      <c r="I32" s="80" t="s">
        <v>14</v>
      </c>
      <c r="J32" s="82" t="s">
        <v>584</v>
      </c>
      <c r="K32" s="86"/>
      <c r="L32" s="80"/>
      <c r="M32" s="126"/>
      <c r="N32" s="14"/>
      <c r="O32" s="14"/>
      <c r="P32" s="14"/>
      <c r="Q32" s="14"/>
      <c r="R32" s="14"/>
      <c r="S32" s="14"/>
      <c r="T32" s="14"/>
      <c r="U32" s="14"/>
      <c r="V32" s="14"/>
      <c r="W32" s="14"/>
      <c r="X32" s="14"/>
      <c r="Y32" s="14"/>
      <c r="Z32" s="14"/>
      <c r="AA32" s="14"/>
    </row>
    <row r="33" ht="156.75" customHeight="1">
      <c r="A33" s="80" t="s">
        <v>585</v>
      </c>
      <c r="B33" s="81" t="s">
        <v>586</v>
      </c>
      <c r="C33" s="82" t="s">
        <v>587</v>
      </c>
      <c r="D33" s="83" t="s">
        <v>588</v>
      </c>
      <c r="E33" s="27"/>
      <c r="F33" s="27"/>
      <c r="G33" s="85" t="s">
        <v>589</v>
      </c>
      <c r="H33" s="86">
        <v>46242.0</v>
      </c>
      <c r="I33" s="80" t="s">
        <v>14</v>
      </c>
      <c r="J33" s="82" t="s">
        <v>590</v>
      </c>
      <c r="K33" s="86"/>
      <c r="L33" s="80"/>
      <c r="M33" s="126"/>
      <c r="N33" s="14"/>
      <c r="O33" s="14"/>
      <c r="P33" s="14"/>
      <c r="Q33" s="14"/>
      <c r="R33" s="14"/>
      <c r="S33" s="14"/>
      <c r="T33" s="14"/>
      <c r="U33" s="14"/>
      <c r="V33" s="14"/>
      <c r="W33" s="14"/>
      <c r="X33" s="14"/>
      <c r="Y33" s="14"/>
      <c r="Z33" s="14"/>
      <c r="AA33" s="14"/>
    </row>
    <row r="34" ht="156.75" customHeight="1">
      <c r="A34" s="80" t="s">
        <v>591</v>
      </c>
      <c r="B34" s="81" t="s">
        <v>592</v>
      </c>
      <c r="C34" s="82" t="s">
        <v>593</v>
      </c>
      <c r="D34" s="83" t="s">
        <v>594</v>
      </c>
      <c r="E34" s="27"/>
      <c r="F34" s="27"/>
      <c r="G34" s="85" t="s">
        <v>595</v>
      </c>
      <c r="H34" s="86">
        <v>46242.0</v>
      </c>
      <c r="I34" s="80" t="s">
        <v>14</v>
      </c>
      <c r="J34" s="82" t="s">
        <v>596</v>
      </c>
      <c r="K34" s="86"/>
      <c r="L34" s="80"/>
      <c r="M34" s="126"/>
      <c r="N34" s="14"/>
      <c r="O34" s="14"/>
      <c r="P34" s="14"/>
      <c r="Q34" s="14"/>
      <c r="R34" s="14"/>
      <c r="S34" s="14"/>
      <c r="T34" s="14"/>
      <c r="U34" s="14"/>
      <c r="V34" s="14"/>
      <c r="W34" s="14"/>
      <c r="X34" s="14"/>
      <c r="Y34" s="14"/>
      <c r="Z34" s="14"/>
      <c r="AA34" s="14"/>
    </row>
    <row r="35" ht="156.75" customHeight="1">
      <c r="A35" s="80" t="s">
        <v>597</v>
      </c>
      <c r="B35" s="81" t="s">
        <v>598</v>
      </c>
      <c r="C35" s="82" t="s">
        <v>599</v>
      </c>
      <c r="D35" s="83" t="s">
        <v>600</v>
      </c>
      <c r="E35" s="27"/>
      <c r="F35" s="27"/>
      <c r="G35" s="85" t="s">
        <v>601</v>
      </c>
      <c r="H35" s="86">
        <v>46242.0</v>
      </c>
      <c r="I35" s="80" t="s">
        <v>14</v>
      </c>
      <c r="J35" s="82" t="s">
        <v>602</v>
      </c>
      <c r="K35" s="86"/>
      <c r="L35" s="80"/>
      <c r="M35" s="126"/>
      <c r="N35" s="14"/>
      <c r="O35" s="14"/>
      <c r="P35" s="14"/>
      <c r="Q35" s="14"/>
      <c r="R35" s="14"/>
      <c r="S35" s="14"/>
      <c r="T35" s="14"/>
      <c r="U35" s="14"/>
      <c r="V35" s="14"/>
      <c r="W35" s="14"/>
      <c r="X35" s="14"/>
      <c r="Y35" s="14"/>
      <c r="Z35" s="14"/>
      <c r="AA35" s="14"/>
    </row>
    <row r="36">
      <c r="A36" s="79" t="s">
        <v>603</v>
      </c>
      <c r="B36" s="27"/>
      <c r="C36" s="27"/>
      <c r="D36" s="27"/>
      <c r="E36" s="27"/>
      <c r="F36" s="27"/>
      <c r="G36" s="27"/>
      <c r="H36" s="27"/>
      <c r="I36" s="27"/>
      <c r="J36" s="27"/>
      <c r="K36" s="27"/>
      <c r="L36" s="27"/>
      <c r="M36" s="28"/>
      <c r="N36" s="14"/>
      <c r="O36" s="14"/>
      <c r="P36" s="14"/>
      <c r="Q36" s="14"/>
      <c r="R36" s="14"/>
      <c r="S36" s="14"/>
      <c r="T36" s="14"/>
      <c r="U36" s="14"/>
      <c r="V36" s="14"/>
      <c r="W36" s="14"/>
      <c r="X36" s="14"/>
      <c r="Y36" s="14"/>
      <c r="Z36" s="14"/>
      <c r="AA36" s="14"/>
    </row>
    <row r="37" ht="186.75" customHeight="1">
      <c r="A37" s="80" t="s">
        <v>604</v>
      </c>
      <c r="B37" s="81" t="s">
        <v>605</v>
      </c>
      <c r="C37" s="82" t="s">
        <v>606</v>
      </c>
      <c r="D37" s="83" t="s">
        <v>607</v>
      </c>
      <c r="E37" s="27"/>
      <c r="F37" s="27"/>
      <c r="G37" s="85" t="s">
        <v>608</v>
      </c>
      <c r="H37" s="86">
        <v>46242.0</v>
      </c>
      <c r="I37" s="80" t="s">
        <v>15</v>
      </c>
      <c r="J37" s="82" t="s">
        <v>609</v>
      </c>
      <c r="K37" s="86">
        <v>46242.0</v>
      </c>
      <c r="L37" s="80" t="s">
        <v>14</v>
      </c>
      <c r="M37" s="85" t="s">
        <v>610</v>
      </c>
      <c r="N37" s="14"/>
      <c r="O37" s="14"/>
      <c r="P37" s="14"/>
      <c r="Q37" s="14"/>
      <c r="R37" s="14"/>
      <c r="S37" s="14"/>
      <c r="T37" s="14"/>
      <c r="U37" s="14"/>
      <c r="V37" s="14"/>
      <c r="W37" s="14"/>
      <c r="X37" s="14"/>
      <c r="Y37" s="14"/>
      <c r="Z37" s="14"/>
      <c r="AA37" s="14"/>
    </row>
    <row r="38" ht="156.75" customHeight="1">
      <c r="A38" s="80" t="s">
        <v>611</v>
      </c>
      <c r="B38" s="81" t="s">
        <v>612</v>
      </c>
      <c r="C38" s="82" t="s">
        <v>613</v>
      </c>
      <c r="D38" s="83" t="s">
        <v>614</v>
      </c>
      <c r="E38" s="27"/>
      <c r="F38" s="27"/>
      <c r="G38" s="85" t="s">
        <v>615</v>
      </c>
      <c r="H38" s="86">
        <v>46242.0</v>
      </c>
      <c r="I38" s="80" t="s">
        <v>14</v>
      </c>
      <c r="J38" s="82" t="s">
        <v>617</v>
      </c>
      <c r="K38" s="86"/>
      <c r="L38" s="80"/>
      <c r="M38" s="126"/>
      <c r="N38" s="14"/>
      <c r="O38" s="14"/>
      <c r="P38" s="14"/>
      <c r="Q38" s="14"/>
      <c r="R38" s="14"/>
      <c r="S38" s="14"/>
      <c r="T38" s="14"/>
      <c r="U38" s="14"/>
      <c r="V38" s="14"/>
      <c r="W38" s="14"/>
      <c r="X38" s="14"/>
      <c r="Y38" s="14"/>
      <c r="Z38" s="14"/>
      <c r="AA38" s="14"/>
    </row>
    <row r="39">
      <c r="A39" s="79" t="s">
        <v>618</v>
      </c>
      <c r="B39" s="27"/>
      <c r="C39" s="27"/>
      <c r="D39" s="27"/>
      <c r="E39" s="27"/>
      <c r="F39" s="27"/>
      <c r="G39" s="27"/>
      <c r="H39" s="27"/>
      <c r="I39" s="27"/>
      <c r="J39" s="27"/>
      <c r="K39" s="27"/>
      <c r="L39" s="27"/>
      <c r="M39" s="28"/>
      <c r="N39" s="14"/>
      <c r="O39" s="14"/>
      <c r="P39" s="14"/>
      <c r="Q39" s="14"/>
      <c r="R39" s="14"/>
      <c r="S39" s="14"/>
      <c r="T39" s="14"/>
      <c r="U39" s="14"/>
      <c r="V39" s="14"/>
      <c r="W39" s="14"/>
      <c r="X39" s="14"/>
      <c r="Y39" s="14"/>
      <c r="Z39" s="14"/>
      <c r="AA39" s="14"/>
    </row>
    <row r="40" ht="156.75" customHeight="1">
      <c r="A40" s="80" t="s">
        <v>620</v>
      </c>
      <c r="B40" s="81" t="s">
        <v>621</v>
      </c>
      <c r="C40" s="82" t="s">
        <v>622</v>
      </c>
      <c r="D40" s="83" t="s">
        <v>623</v>
      </c>
      <c r="E40" s="27"/>
      <c r="F40" s="27"/>
      <c r="G40" s="85" t="s">
        <v>624</v>
      </c>
      <c r="H40" s="86">
        <v>46242.0</v>
      </c>
      <c r="I40" s="80" t="s">
        <v>14</v>
      </c>
      <c r="J40" s="82" t="s">
        <v>625</v>
      </c>
      <c r="K40" s="86"/>
      <c r="L40" s="80"/>
      <c r="M40" s="126"/>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27"/>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sheetData>
  <mergeCells count="47">
    <mergeCell ref="B1:D2"/>
    <mergeCell ref="B3:D3"/>
    <mergeCell ref="B4:D4"/>
    <mergeCell ref="B5:D5"/>
    <mergeCell ref="A9:A10"/>
    <mergeCell ref="B9:B10"/>
    <mergeCell ref="C9:C10"/>
    <mergeCell ref="G9:G10"/>
    <mergeCell ref="H9:H10"/>
    <mergeCell ref="I9:I10"/>
    <mergeCell ref="J9:J10"/>
    <mergeCell ref="K9:K10"/>
    <mergeCell ref="L9:L10"/>
    <mergeCell ref="M9:M10"/>
    <mergeCell ref="D9:F10"/>
    <mergeCell ref="B11:M11"/>
    <mergeCell ref="A12:M12"/>
    <mergeCell ref="D13:F13"/>
    <mergeCell ref="A14:M14"/>
    <mergeCell ref="D15:F15"/>
    <mergeCell ref="D16:F16"/>
    <mergeCell ref="D17:F17"/>
    <mergeCell ref="A18:M18"/>
    <mergeCell ref="D19:F19"/>
    <mergeCell ref="D20:F20"/>
    <mergeCell ref="A21:M21"/>
    <mergeCell ref="N21:Z21"/>
    <mergeCell ref="D22:F22"/>
    <mergeCell ref="A23:M23"/>
    <mergeCell ref="N23:Z23"/>
    <mergeCell ref="D24:F24"/>
    <mergeCell ref="D25:F25"/>
    <mergeCell ref="D26:F26"/>
    <mergeCell ref="D27:F27"/>
    <mergeCell ref="A28:M28"/>
    <mergeCell ref="D35:F35"/>
    <mergeCell ref="D37:F37"/>
    <mergeCell ref="D38:F38"/>
    <mergeCell ref="D40:F40"/>
    <mergeCell ref="D29:F29"/>
    <mergeCell ref="D30:F30"/>
    <mergeCell ref="A31:M31"/>
    <mergeCell ref="D32:F32"/>
    <mergeCell ref="D33:F33"/>
    <mergeCell ref="D34:F34"/>
    <mergeCell ref="A36:M36"/>
    <mergeCell ref="A39:M39"/>
  </mergeCells>
  <hyperlinks>
    <hyperlink r:id="rId1" ref="G13"/>
    <hyperlink r:id="rId2" ref="G15"/>
    <hyperlink r:id="rId3" ref="M15"/>
    <hyperlink r:id="rId4" ref="G16"/>
    <hyperlink r:id="rId5" ref="M16"/>
    <hyperlink r:id="rId6" ref="G17"/>
    <hyperlink r:id="rId7" ref="M17"/>
    <hyperlink r:id="rId8" ref="G19"/>
    <hyperlink r:id="rId9" ref="G20"/>
    <hyperlink r:id="rId10" ref="G22"/>
    <hyperlink r:id="rId11" ref="G24"/>
    <hyperlink r:id="rId12" ref="M24"/>
    <hyperlink r:id="rId13" ref="G25"/>
    <hyperlink r:id="rId14" ref="G26"/>
    <hyperlink r:id="rId15" ref="G27"/>
    <hyperlink r:id="rId16" ref="M27"/>
    <hyperlink r:id="rId17" ref="G29"/>
    <hyperlink r:id="rId18" ref="G30"/>
    <hyperlink r:id="rId19" ref="G32"/>
    <hyperlink r:id="rId20" ref="G33"/>
    <hyperlink r:id="rId21" ref="G34"/>
    <hyperlink r:id="rId22" ref="G35"/>
    <hyperlink r:id="rId23" ref="G37"/>
    <hyperlink r:id="rId24" ref="M37"/>
    <hyperlink r:id="rId25" ref="G38"/>
    <hyperlink r:id="rId26" ref="G40"/>
  </hyperlinks>
  <drawing r:id="rId2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5.25"/>
    <col customWidth="1" min="8" max="8" width="20.13"/>
    <col customWidth="1" min="9" max="9" width="15.5"/>
    <col customWidth="1" min="10" max="10" width="21.38"/>
    <col customWidth="1" min="11" max="12" width="19.88"/>
    <col customWidth="1" min="13" max="13" width="24.6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616</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619</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5.0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0.0</v>
      </c>
      <c r="C7" s="52" t="s">
        <v>36</v>
      </c>
      <c r="D7" s="49">
        <v>5.0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c r="Y9" s="14"/>
      <c r="Z9" s="14"/>
      <c r="AA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c r="Y10" s="14"/>
      <c r="Z10" s="14"/>
      <c r="AA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c r="Y11" s="14"/>
      <c r="Z11" s="14"/>
      <c r="AA11" s="14"/>
    </row>
    <row r="12">
      <c r="A12" s="79" t="s">
        <v>626</v>
      </c>
      <c r="B12" s="27"/>
      <c r="C12" s="27"/>
      <c r="D12" s="27"/>
      <c r="E12" s="27"/>
      <c r="F12" s="27"/>
      <c r="G12" s="27"/>
      <c r="H12" s="27"/>
      <c r="I12" s="27"/>
      <c r="J12" s="28"/>
      <c r="K12" s="14"/>
      <c r="L12" s="14"/>
      <c r="M12" s="14"/>
      <c r="N12" s="14"/>
      <c r="O12" s="14"/>
      <c r="P12" s="14"/>
      <c r="Q12" s="14"/>
      <c r="R12" s="14"/>
      <c r="S12" s="14"/>
      <c r="T12" s="14"/>
      <c r="U12" s="14"/>
      <c r="V12" s="14"/>
      <c r="W12" s="14"/>
      <c r="X12" s="14"/>
      <c r="Y12" s="14"/>
      <c r="Z12" s="14"/>
      <c r="AA12" s="14"/>
    </row>
    <row r="13" ht="138.75" customHeight="1">
      <c r="A13" s="80" t="s">
        <v>627</v>
      </c>
      <c r="B13" s="81" t="s">
        <v>628</v>
      </c>
      <c r="C13" s="82" t="s">
        <v>629</v>
      </c>
      <c r="D13" s="83" t="s">
        <v>630</v>
      </c>
      <c r="E13" s="27"/>
      <c r="F13" s="27"/>
      <c r="G13" s="85" t="s">
        <v>631</v>
      </c>
      <c r="H13" s="86">
        <v>46245.0</v>
      </c>
      <c r="I13" s="80" t="s">
        <v>14</v>
      </c>
      <c r="J13" s="82" t="s">
        <v>632</v>
      </c>
      <c r="K13" s="14"/>
      <c r="L13" s="14"/>
      <c r="M13" s="14"/>
      <c r="N13" s="14"/>
      <c r="O13" s="14"/>
      <c r="P13" s="14"/>
      <c r="Q13" s="14"/>
      <c r="R13" s="14"/>
      <c r="S13" s="14"/>
      <c r="T13" s="14"/>
      <c r="U13" s="14"/>
      <c r="V13" s="14"/>
      <c r="W13" s="14"/>
      <c r="X13" s="14"/>
      <c r="Y13" s="14"/>
      <c r="Z13" s="14"/>
      <c r="AA13" s="14"/>
    </row>
    <row r="14" ht="15.0" customHeight="1">
      <c r="A14" s="79" t="s">
        <v>633</v>
      </c>
      <c r="B14" s="27"/>
      <c r="C14" s="27"/>
      <c r="D14" s="27"/>
      <c r="E14" s="27"/>
      <c r="F14" s="27"/>
      <c r="G14" s="27"/>
      <c r="H14" s="27"/>
      <c r="I14" s="27"/>
      <c r="J14" s="28"/>
      <c r="K14" s="14"/>
      <c r="L14" s="14"/>
      <c r="M14" s="14"/>
      <c r="N14" s="14"/>
      <c r="O14" s="14"/>
      <c r="P14" s="14"/>
      <c r="Q14" s="14"/>
      <c r="R14" s="14"/>
      <c r="S14" s="14"/>
      <c r="T14" s="14"/>
      <c r="U14" s="14"/>
      <c r="V14" s="14"/>
      <c r="W14" s="14"/>
      <c r="X14" s="14"/>
      <c r="Y14" s="14"/>
      <c r="Z14" s="14"/>
      <c r="AA14" s="14"/>
    </row>
    <row r="15" ht="126.75" customHeight="1">
      <c r="A15" s="80" t="s">
        <v>634</v>
      </c>
      <c r="B15" s="81" t="s">
        <v>635</v>
      </c>
      <c r="C15" s="82" t="s">
        <v>636</v>
      </c>
      <c r="D15" s="83" t="s">
        <v>637</v>
      </c>
      <c r="E15" s="27"/>
      <c r="F15" s="27"/>
      <c r="G15" s="85" t="s">
        <v>638</v>
      </c>
      <c r="H15" s="86">
        <v>46245.0</v>
      </c>
      <c r="I15" s="80" t="s">
        <v>14</v>
      </c>
      <c r="J15" s="82" t="s">
        <v>639</v>
      </c>
      <c r="K15" s="14"/>
      <c r="L15" s="14"/>
      <c r="M15" s="14"/>
      <c r="N15" s="14"/>
      <c r="O15" s="14"/>
      <c r="P15" s="14"/>
      <c r="Q15" s="14"/>
      <c r="R15" s="14"/>
      <c r="S15" s="14"/>
      <c r="T15" s="14"/>
      <c r="U15" s="14"/>
      <c r="V15" s="14"/>
      <c r="W15" s="14"/>
      <c r="X15" s="14"/>
      <c r="Y15" s="14"/>
      <c r="Z15" s="14"/>
      <c r="AA15" s="14"/>
    </row>
    <row r="16" ht="138.75" customHeight="1">
      <c r="A16" s="80" t="s">
        <v>640</v>
      </c>
      <c r="B16" s="81" t="s">
        <v>641</v>
      </c>
      <c r="C16" s="82" t="s">
        <v>642</v>
      </c>
      <c r="D16" s="83" t="s">
        <v>643</v>
      </c>
      <c r="E16" s="27"/>
      <c r="F16" s="27"/>
      <c r="G16" s="85" t="s">
        <v>644</v>
      </c>
      <c r="H16" s="86">
        <v>46245.0</v>
      </c>
      <c r="I16" s="80" t="s">
        <v>14</v>
      </c>
      <c r="J16" s="82" t="s">
        <v>645</v>
      </c>
      <c r="K16" s="14"/>
      <c r="L16" s="14"/>
      <c r="M16" s="14"/>
      <c r="N16" s="14"/>
      <c r="O16" s="14"/>
      <c r="P16" s="14"/>
      <c r="Q16" s="14"/>
      <c r="R16" s="14"/>
      <c r="S16" s="14"/>
      <c r="T16" s="14"/>
      <c r="U16" s="14"/>
      <c r="V16" s="14"/>
      <c r="W16" s="14"/>
      <c r="X16" s="14"/>
      <c r="Y16" s="14"/>
      <c r="Z16" s="14"/>
      <c r="AA16" s="14"/>
    </row>
    <row r="17" ht="15.0" customHeight="1">
      <c r="A17" s="79" t="s">
        <v>646</v>
      </c>
      <c r="B17" s="27"/>
      <c r="C17" s="27"/>
      <c r="D17" s="27"/>
      <c r="E17" s="27"/>
      <c r="F17" s="27"/>
      <c r="G17" s="27"/>
      <c r="H17" s="27"/>
      <c r="I17" s="27"/>
      <c r="J17" s="28"/>
      <c r="K17" s="14"/>
      <c r="L17" s="14"/>
      <c r="M17" s="14"/>
      <c r="N17" s="14"/>
      <c r="O17" s="14"/>
      <c r="P17" s="14"/>
      <c r="Q17" s="14"/>
      <c r="R17" s="14"/>
      <c r="S17" s="14"/>
      <c r="T17" s="14"/>
      <c r="U17" s="14"/>
      <c r="V17" s="14"/>
      <c r="W17" s="14"/>
      <c r="X17" s="14"/>
      <c r="Y17" s="14"/>
      <c r="Z17" s="14"/>
      <c r="AA17" s="14"/>
    </row>
    <row r="18" ht="177.75" customHeight="1">
      <c r="A18" s="80" t="s">
        <v>647</v>
      </c>
      <c r="B18" s="81" t="s">
        <v>648</v>
      </c>
      <c r="C18" s="82" t="s">
        <v>649</v>
      </c>
      <c r="D18" s="83" t="s">
        <v>650</v>
      </c>
      <c r="E18" s="27"/>
      <c r="F18" s="27"/>
      <c r="G18" s="85" t="s">
        <v>651</v>
      </c>
      <c r="H18" s="86">
        <v>46245.0</v>
      </c>
      <c r="I18" s="80" t="s">
        <v>14</v>
      </c>
      <c r="J18" s="82" t="s">
        <v>652</v>
      </c>
      <c r="K18" s="14"/>
      <c r="L18" s="14"/>
      <c r="M18" s="14"/>
      <c r="N18" s="14"/>
      <c r="O18" s="14"/>
      <c r="P18" s="14"/>
      <c r="Q18" s="14"/>
      <c r="R18" s="14"/>
      <c r="S18" s="14"/>
      <c r="T18" s="14"/>
      <c r="U18" s="14"/>
      <c r="V18" s="14"/>
      <c r="W18" s="14"/>
      <c r="X18" s="14"/>
      <c r="Y18" s="14"/>
      <c r="Z18" s="14"/>
      <c r="AA18" s="14"/>
    </row>
    <row r="19" ht="17.25" customHeight="1">
      <c r="A19" s="79" t="s">
        <v>653</v>
      </c>
      <c r="B19" s="27"/>
      <c r="C19" s="27"/>
      <c r="D19" s="27"/>
      <c r="E19" s="27"/>
      <c r="F19" s="27"/>
      <c r="G19" s="27"/>
      <c r="H19" s="27"/>
      <c r="I19" s="27"/>
      <c r="J19" s="28"/>
      <c r="K19" s="14"/>
      <c r="L19" s="14"/>
      <c r="M19" s="14"/>
      <c r="N19" s="14"/>
      <c r="O19" s="14"/>
      <c r="P19" s="14"/>
      <c r="Q19" s="14"/>
      <c r="R19" s="14"/>
      <c r="S19" s="14"/>
      <c r="T19" s="14"/>
      <c r="U19" s="14"/>
      <c r="V19" s="14"/>
      <c r="W19" s="14"/>
      <c r="X19" s="14"/>
      <c r="Y19" s="14"/>
      <c r="Z19" s="14"/>
      <c r="AA19" s="14"/>
    </row>
    <row r="20" ht="177.75" customHeight="1">
      <c r="A20" s="80" t="s">
        <v>654</v>
      </c>
      <c r="B20" s="81" t="s">
        <v>655</v>
      </c>
      <c r="C20" s="82" t="s">
        <v>656</v>
      </c>
      <c r="D20" s="83" t="s">
        <v>657</v>
      </c>
      <c r="E20" s="27"/>
      <c r="F20" s="27"/>
      <c r="G20" s="85" t="s">
        <v>658</v>
      </c>
      <c r="H20" s="86">
        <v>46245.0</v>
      </c>
      <c r="I20" s="80" t="s">
        <v>14</v>
      </c>
      <c r="J20" s="82" t="s">
        <v>659</v>
      </c>
      <c r="K20" s="14"/>
      <c r="L20" s="14"/>
      <c r="M20" s="14"/>
      <c r="N20" s="14"/>
      <c r="O20" s="14"/>
      <c r="P20" s="14"/>
      <c r="Q20" s="14"/>
      <c r="R20" s="14"/>
      <c r="S20" s="14"/>
      <c r="T20" s="14"/>
      <c r="U20" s="14"/>
      <c r="V20" s="14"/>
      <c r="W20" s="14"/>
      <c r="X20" s="14"/>
      <c r="Y20" s="14"/>
      <c r="Z20" s="14"/>
      <c r="AA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c r="Y21" s="134"/>
      <c r="Z21" s="134"/>
      <c r="AA21" s="14"/>
    </row>
    <row r="22" ht="128.2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35"/>
      <c r="Z23" s="135"/>
      <c r="AA23" s="14"/>
    </row>
    <row r="24" ht="126.0"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row>
    <row r="25" ht="152.2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row>
    <row r="26" ht="156.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K29" s="14"/>
      <c r="L29" s="14"/>
      <c r="M29" s="14"/>
      <c r="N29" s="14"/>
      <c r="O29" s="14"/>
      <c r="P29" s="14"/>
      <c r="Q29" s="14"/>
      <c r="R29" s="14"/>
      <c r="S29" s="14"/>
      <c r="T29" s="14"/>
      <c r="U29" s="14"/>
      <c r="V29" s="14"/>
      <c r="W29" s="14"/>
      <c r="X29" s="14"/>
      <c r="Y29" s="14"/>
      <c r="Z29" s="14"/>
      <c r="AA29" s="14"/>
    </row>
    <row r="30">
      <c r="A30" s="14"/>
      <c r="B30" s="14"/>
      <c r="C30" s="14"/>
      <c r="D30" s="14"/>
      <c r="E30" s="14"/>
      <c r="F30" s="14"/>
      <c r="G30" s="127"/>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Y983" s="14"/>
      <c r="Z983" s="14"/>
      <c r="AA983" s="14"/>
    </row>
    <row r="984">
      <c r="Y984" s="14"/>
      <c r="Z984" s="14"/>
      <c r="AA984" s="14"/>
    </row>
    <row r="985">
      <c r="Y985" s="14"/>
      <c r="Z985" s="14"/>
      <c r="AA985" s="14"/>
    </row>
    <row r="986">
      <c r="Y986" s="14"/>
      <c r="Z986" s="14"/>
      <c r="AA986" s="14"/>
    </row>
    <row r="987">
      <c r="Y987" s="14"/>
      <c r="Z987" s="14"/>
      <c r="AA987" s="14"/>
    </row>
    <row r="988">
      <c r="Y988" s="14"/>
      <c r="Z988" s="14"/>
      <c r="AA988" s="14"/>
    </row>
    <row r="989">
      <c r="Y989" s="14"/>
      <c r="Z989" s="14"/>
      <c r="AA989" s="14"/>
    </row>
    <row r="990">
      <c r="Y990" s="14"/>
      <c r="Z990" s="14"/>
      <c r="AA990" s="14"/>
    </row>
    <row r="991">
      <c r="Y991" s="14"/>
      <c r="Z991" s="14"/>
      <c r="AA991" s="14"/>
    </row>
    <row r="992">
      <c r="Y992" s="14"/>
      <c r="Z992" s="14"/>
      <c r="AA992" s="14"/>
    </row>
    <row r="993">
      <c r="Y993" s="14"/>
      <c r="Z993" s="14"/>
      <c r="AA993" s="14"/>
    </row>
  </sheetData>
  <mergeCells count="22">
    <mergeCell ref="B1:D2"/>
    <mergeCell ref="B3:D3"/>
    <mergeCell ref="B4:D4"/>
    <mergeCell ref="B5:D5"/>
    <mergeCell ref="A9:A10"/>
    <mergeCell ref="B9:B10"/>
    <mergeCell ref="C9:C10"/>
    <mergeCell ref="D13:F13"/>
    <mergeCell ref="A14:J14"/>
    <mergeCell ref="D15:F15"/>
    <mergeCell ref="D16:F16"/>
    <mergeCell ref="A17:J17"/>
    <mergeCell ref="D18:F18"/>
    <mergeCell ref="A19:J19"/>
    <mergeCell ref="D20:F20"/>
    <mergeCell ref="D9:F10"/>
    <mergeCell ref="G9:G10"/>
    <mergeCell ref="H9:H10"/>
    <mergeCell ref="I9:I10"/>
    <mergeCell ref="J9:J10"/>
    <mergeCell ref="B11:J11"/>
    <mergeCell ref="A12:J12"/>
  </mergeCells>
  <hyperlinks>
    <hyperlink r:id="rId1" ref="G13"/>
    <hyperlink r:id="rId2" ref="G15"/>
    <hyperlink r:id="rId3" ref="G16"/>
    <hyperlink r:id="rId4" ref="G18"/>
    <hyperlink r:id="rId5" ref="G20"/>
  </hyperlinks>
  <drawing r:id="rId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8.1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660</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661</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5.0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1.0</v>
      </c>
      <c r="C7" s="52" t="s">
        <v>36</v>
      </c>
      <c r="D7" s="49">
        <v>6.0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27"/>
      <c r="D11" s="27"/>
      <c r="E11" s="27"/>
      <c r="F11" s="27"/>
      <c r="G11" s="27"/>
      <c r="H11" s="27"/>
      <c r="I11" s="27"/>
      <c r="J11" s="27"/>
      <c r="K11" s="27"/>
      <c r="L11" s="27"/>
      <c r="M11" s="27"/>
      <c r="N11" s="14"/>
      <c r="O11" s="14"/>
      <c r="P11" s="14"/>
      <c r="Q11" s="14"/>
      <c r="R11" s="14"/>
      <c r="S11" s="14"/>
      <c r="T11" s="14"/>
      <c r="U11" s="14"/>
      <c r="V11" s="14"/>
      <c r="W11" s="14"/>
      <c r="X11" s="14"/>
      <c r="Y11" s="14"/>
      <c r="Z11" s="14"/>
      <c r="AA11" s="14"/>
    </row>
    <row r="12">
      <c r="A12" s="79" t="s">
        <v>662</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38.75" customHeight="1">
      <c r="A13" s="80" t="s">
        <v>663</v>
      </c>
      <c r="B13" s="81" t="s">
        <v>664</v>
      </c>
      <c r="C13" s="82" t="s">
        <v>665</v>
      </c>
      <c r="D13" s="83" t="s">
        <v>666</v>
      </c>
      <c r="E13" s="27"/>
      <c r="F13" s="27"/>
      <c r="G13" s="85" t="s">
        <v>667</v>
      </c>
      <c r="H13" s="86">
        <v>46246.0</v>
      </c>
      <c r="I13" s="80" t="s">
        <v>14</v>
      </c>
      <c r="J13" s="82" t="s">
        <v>668</v>
      </c>
      <c r="K13" s="87"/>
      <c r="L13" s="87"/>
      <c r="M13" s="88"/>
      <c r="N13" s="14"/>
      <c r="O13" s="14"/>
      <c r="P13" s="14"/>
      <c r="Q13" s="14"/>
      <c r="R13" s="14"/>
      <c r="S13" s="14"/>
      <c r="T13" s="14"/>
      <c r="U13" s="14"/>
      <c r="V13" s="14"/>
      <c r="W13" s="14"/>
      <c r="X13" s="14"/>
      <c r="Y13" s="14"/>
      <c r="Z13" s="14"/>
      <c r="AA13" s="14"/>
    </row>
    <row r="14" ht="130.5" customHeight="1">
      <c r="A14" s="80" t="s">
        <v>669</v>
      </c>
      <c r="B14" s="81" t="s">
        <v>670</v>
      </c>
      <c r="C14" s="82" t="s">
        <v>671</v>
      </c>
      <c r="D14" s="83" t="s">
        <v>672</v>
      </c>
      <c r="E14" s="27"/>
      <c r="F14" s="27"/>
      <c r="G14" s="85" t="s">
        <v>673</v>
      </c>
      <c r="H14" s="86">
        <v>46246.0</v>
      </c>
      <c r="I14" s="80" t="s">
        <v>14</v>
      </c>
      <c r="J14" s="82" t="s">
        <v>674</v>
      </c>
      <c r="K14" s="86"/>
      <c r="L14" s="80"/>
      <c r="M14" s="82"/>
      <c r="N14" s="14"/>
      <c r="O14" s="14"/>
      <c r="P14" s="14"/>
      <c r="Q14" s="14"/>
      <c r="R14" s="14"/>
      <c r="S14" s="14"/>
      <c r="T14" s="14"/>
      <c r="U14" s="14"/>
      <c r="V14" s="14"/>
      <c r="W14" s="14"/>
      <c r="X14" s="14"/>
      <c r="Y14" s="14"/>
      <c r="Z14" s="14"/>
      <c r="AA14" s="14"/>
    </row>
    <row r="15" ht="15.75" customHeight="1">
      <c r="A15" s="79" t="s">
        <v>675</v>
      </c>
      <c r="B15" s="27"/>
      <c r="C15" s="27"/>
      <c r="D15" s="27"/>
      <c r="E15" s="27"/>
      <c r="F15" s="27"/>
      <c r="G15" s="27"/>
      <c r="H15" s="27"/>
      <c r="I15" s="27"/>
      <c r="J15" s="27"/>
      <c r="K15" s="27"/>
      <c r="L15" s="27"/>
      <c r="M15" s="28"/>
      <c r="N15" s="14"/>
      <c r="O15" s="14"/>
      <c r="P15" s="14"/>
      <c r="Q15" s="14"/>
      <c r="R15" s="14"/>
      <c r="S15" s="14"/>
      <c r="T15" s="14"/>
      <c r="U15" s="14"/>
      <c r="V15" s="14"/>
      <c r="W15" s="14"/>
      <c r="X15" s="14"/>
      <c r="Y15" s="14"/>
      <c r="Z15" s="14"/>
      <c r="AA15" s="14"/>
    </row>
    <row r="16" ht="183.75" customHeight="1">
      <c r="A16" s="80" t="s">
        <v>676</v>
      </c>
      <c r="B16" s="81" t="s">
        <v>677</v>
      </c>
      <c r="C16" s="82" t="s">
        <v>678</v>
      </c>
      <c r="D16" s="83" t="s">
        <v>679</v>
      </c>
      <c r="E16" s="27"/>
      <c r="F16" s="27"/>
      <c r="G16" s="85" t="s">
        <v>680</v>
      </c>
      <c r="H16" s="86">
        <v>46246.0</v>
      </c>
      <c r="I16" s="80" t="s">
        <v>14</v>
      </c>
      <c r="J16" s="82" t="s">
        <v>681</v>
      </c>
      <c r="K16" s="86"/>
      <c r="L16" s="80"/>
      <c r="M16" s="82"/>
      <c r="N16" s="14"/>
      <c r="O16" s="14"/>
      <c r="P16" s="14"/>
      <c r="Q16" s="14"/>
      <c r="R16" s="14"/>
      <c r="S16" s="14"/>
      <c r="T16" s="14"/>
      <c r="U16" s="14"/>
      <c r="V16" s="14"/>
      <c r="W16" s="14"/>
      <c r="X16" s="14"/>
      <c r="Y16" s="14"/>
      <c r="Z16" s="14"/>
      <c r="AA16" s="14"/>
    </row>
    <row r="17" ht="14.25" customHeight="1">
      <c r="A17" s="79" t="s">
        <v>682</v>
      </c>
      <c r="B17" s="27"/>
      <c r="C17" s="27"/>
      <c r="D17" s="27"/>
      <c r="E17" s="27"/>
      <c r="F17" s="27"/>
      <c r="G17" s="27"/>
      <c r="H17" s="27"/>
      <c r="I17" s="27"/>
      <c r="J17" s="27"/>
      <c r="K17" s="27"/>
      <c r="L17" s="27"/>
      <c r="M17" s="28"/>
      <c r="N17" s="14"/>
      <c r="O17" s="14"/>
      <c r="P17" s="14"/>
      <c r="Q17" s="14"/>
      <c r="R17" s="14"/>
      <c r="S17" s="14"/>
      <c r="T17" s="14"/>
      <c r="U17" s="14"/>
      <c r="V17" s="14"/>
      <c r="W17" s="14"/>
      <c r="X17" s="14"/>
      <c r="Y17" s="14"/>
      <c r="Z17" s="14"/>
      <c r="AA17" s="14"/>
    </row>
    <row r="18" ht="183.75" customHeight="1">
      <c r="A18" s="80" t="s">
        <v>683</v>
      </c>
      <c r="B18" s="81" t="s">
        <v>684</v>
      </c>
      <c r="C18" s="82" t="s">
        <v>685</v>
      </c>
      <c r="D18" s="83" t="s">
        <v>686</v>
      </c>
      <c r="E18" s="27"/>
      <c r="F18" s="27"/>
      <c r="G18" s="85" t="s">
        <v>687</v>
      </c>
      <c r="H18" s="86">
        <v>46246.0</v>
      </c>
      <c r="I18" s="80" t="s">
        <v>15</v>
      </c>
      <c r="J18" s="82" t="s">
        <v>688</v>
      </c>
      <c r="K18" s="86">
        <v>46247.0</v>
      </c>
      <c r="L18" s="80" t="s">
        <v>14</v>
      </c>
      <c r="M18" s="85" t="s">
        <v>689</v>
      </c>
      <c r="N18" s="14"/>
      <c r="O18" s="14"/>
      <c r="P18" s="14"/>
      <c r="Q18" s="14"/>
      <c r="R18" s="14"/>
      <c r="S18" s="14"/>
      <c r="T18" s="14"/>
      <c r="U18" s="14"/>
      <c r="V18" s="14"/>
      <c r="W18" s="14"/>
      <c r="X18" s="14"/>
      <c r="Y18" s="14"/>
      <c r="Z18" s="14"/>
      <c r="AA18" s="14"/>
    </row>
    <row r="19">
      <c r="A19" s="79" t="s">
        <v>690</v>
      </c>
      <c r="B19" s="27"/>
      <c r="C19" s="27"/>
      <c r="D19" s="27"/>
      <c r="E19" s="27"/>
      <c r="F19" s="27"/>
      <c r="G19" s="27"/>
      <c r="H19" s="27"/>
      <c r="I19" s="27"/>
      <c r="J19" s="27"/>
      <c r="K19" s="27"/>
      <c r="L19" s="27"/>
      <c r="M19" s="28"/>
      <c r="N19" s="14"/>
      <c r="O19" s="14"/>
      <c r="P19" s="14"/>
      <c r="Q19" s="14"/>
      <c r="R19" s="14"/>
      <c r="S19" s="14"/>
      <c r="T19" s="14"/>
      <c r="U19" s="14"/>
      <c r="V19" s="14"/>
      <c r="W19" s="14"/>
      <c r="X19" s="14"/>
      <c r="Y19" s="14"/>
      <c r="Z19" s="14"/>
      <c r="AA19" s="14"/>
    </row>
    <row r="20" ht="126.75" customHeight="1">
      <c r="A20" s="80" t="s">
        <v>691</v>
      </c>
      <c r="B20" s="81" t="s">
        <v>692</v>
      </c>
      <c r="C20" s="82" t="s">
        <v>693</v>
      </c>
      <c r="D20" s="83" t="s">
        <v>694</v>
      </c>
      <c r="E20" s="27"/>
      <c r="F20" s="27"/>
      <c r="G20" s="85" t="s">
        <v>695</v>
      </c>
      <c r="H20" s="86">
        <v>46247.0</v>
      </c>
      <c r="I20" s="80" t="s">
        <v>14</v>
      </c>
      <c r="J20" s="82" t="s">
        <v>696</v>
      </c>
      <c r="K20" s="86"/>
      <c r="L20" s="80"/>
      <c r="M20" s="82"/>
      <c r="N20" s="14"/>
      <c r="O20" s="14"/>
      <c r="P20" s="14"/>
      <c r="Q20" s="14"/>
      <c r="R20" s="14"/>
      <c r="S20" s="14"/>
      <c r="T20" s="14"/>
      <c r="U20" s="14"/>
      <c r="V20" s="14"/>
      <c r="W20" s="14"/>
      <c r="X20" s="14"/>
      <c r="Y20" s="14"/>
      <c r="Z20" s="14"/>
      <c r="AA20" s="14"/>
    </row>
    <row r="21">
      <c r="A21" s="79" t="s">
        <v>697</v>
      </c>
      <c r="B21" s="27"/>
      <c r="C21" s="27"/>
      <c r="D21" s="27"/>
      <c r="E21" s="27"/>
      <c r="F21" s="27"/>
      <c r="G21" s="27"/>
      <c r="H21" s="27"/>
      <c r="I21" s="27"/>
      <c r="J21" s="27"/>
      <c r="K21" s="27"/>
      <c r="L21" s="27"/>
      <c r="M21" s="28"/>
      <c r="N21" s="134"/>
      <c r="AA21" s="14"/>
    </row>
    <row r="22" ht="128.25" customHeight="1">
      <c r="A22" s="80" t="s">
        <v>698</v>
      </c>
      <c r="B22" s="81" t="s">
        <v>699</v>
      </c>
      <c r="C22" s="82" t="s">
        <v>700</v>
      </c>
      <c r="D22" s="83" t="s">
        <v>701</v>
      </c>
      <c r="E22" s="27"/>
      <c r="F22" s="27"/>
      <c r="G22" s="129" t="s">
        <v>702</v>
      </c>
      <c r="H22" s="86">
        <v>46247.0</v>
      </c>
      <c r="I22" s="80" t="s">
        <v>14</v>
      </c>
      <c r="J22" s="82" t="s">
        <v>703</v>
      </c>
      <c r="K22" s="87"/>
      <c r="L22" s="87"/>
      <c r="M22" s="88"/>
      <c r="N22" s="14"/>
      <c r="O22" s="14"/>
      <c r="P22" s="14"/>
      <c r="Q22" s="14"/>
      <c r="R22" s="14"/>
      <c r="S22" s="14"/>
      <c r="T22" s="14"/>
      <c r="U22" s="14"/>
      <c r="V22" s="14"/>
      <c r="W22" s="14"/>
      <c r="X22" s="14"/>
      <c r="Y22" s="14"/>
      <c r="Z22" s="14"/>
      <c r="AA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27"/>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2:F22"/>
    <mergeCell ref="A19:M19"/>
    <mergeCell ref="A21:M21"/>
    <mergeCell ref="N21:Z21"/>
    <mergeCell ref="D9:F10"/>
    <mergeCell ref="B11:M11"/>
    <mergeCell ref="A12:M12"/>
    <mergeCell ref="D13:F13"/>
    <mergeCell ref="D14:F14"/>
    <mergeCell ref="A15:M15"/>
    <mergeCell ref="A17:M17"/>
  </mergeCells>
  <hyperlinks>
    <hyperlink r:id="rId1" ref="G13"/>
    <hyperlink r:id="rId2" ref="G14"/>
    <hyperlink r:id="rId3" ref="G16"/>
    <hyperlink r:id="rId4" ref="G18"/>
    <hyperlink r:id="rId5" ref="M18"/>
    <hyperlink r:id="rId6" ref="G20"/>
    <hyperlink r:id="rId7" ref="G22"/>
  </hyperlinks>
  <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8" t="s">
        <v>3</v>
      </c>
      <c r="B1" s="11"/>
      <c r="E1" s="11"/>
      <c r="F1" s="11"/>
      <c r="G1" s="11"/>
      <c r="H1" s="11"/>
      <c r="I1" s="11"/>
      <c r="J1" s="11"/>
      <c r="K1" s="14"/>
      <c r="L1" s="14"/>
      <c r="M1" s="14"/>
      <c r="N1" s="14"/>
      <c r="O1" s="14"/>
      <c r="P1" s="14"/>
      <c r="Q1" s="14"/>
      <c r="R1" s="14"/>
      <c r="S1" s="14"/>
      <c r="T1" s="14"/>
      <c r="U1" s="14"/>
      <c r="V1" s="14"/>
      <c r="W1" s="14"/>
      <c r="X1" s="14"/>
    </row>
    <row r="2">
      <c r="A2" s="11"/>
      <c r="B2" s="17"/>
      <c r="C2" s="17"/>
      <c r="D2" s="17"/>
      <c r="E2" s="11"/>
      <c r="F2" s="11"/>
      <c r="G2" s="11"/>
      <c r="H2" s="11"/>
      <c r="I2" s="11"/>
      <c r="J2" s="11"/>
      <c r="K2" s="14"/>
      <c r="L2" s="14"/>
      <c r="M2" s="14"/>
      <c r="N2" s="14"/>
      <c r="O2" s="14"/>
      <c r="P2" s="14"/>
      <c r="Q2" s="14"/>
      <c r="R2" s="14"/>
      <c r="S2" s="14"/>
      <c r="T2" s="14"/>
      <c r="U2" s="14"/>
      <c r="V2" s="14"/>
      <c r="W2" s="14"/>
      <c r="X2" s="14"/>
    </row>
    <row r="3">
      <c r="A3" s="22" t="s">
        <v>10</v>
      </c>
      <c r="B3" s="26" t="s">
        <v>13</v>
      </c>
      <c r="C3" s="27"/>
      <c r="D3" s="28"/>
      <c r="E3" s="11"/>
      <c r="F3" s="11"/>
      <c r="G3" s="11"/>
      <c r="H3" s="11"/>
      <c r="I3" s="14"/>
      <c r="J3" s="14"/>
      <c r="K3" s="14"/>
      <c r="L3" s="14"/>
      <c r="M3" s="14"/>
      <c r="N3" s="14"/>
      <c r="O3" s="14"/>
      <c r="P3" s="14"/>
      <c r="Q3" s="14"/>
      <c r="R3" s="14"/>
      <c r="S3" s="14"/>
      <c r="T3" s="14"/>
      <c r="U3" s="14"/>
      <c r="V3" s="14"/>
      <c r="W3" s="14"/>
      <c r="X3" s="14"/>
    </row>
    <row r="4">
      <c r="A4" s="22" t="s">
        <v>19</v>
      </c>
      <c r="B4" s="33" t="s">
        <v>704</v>
      </c>
      <c r="C4" s="27"/>
      <c r="D4" s="28"/>
      <c r="E4" s="11"/>
      <c r="F4" s="11"/>
      <c r="G4" s="11"/>
      <c r="H4" s="11"/>
      <c r="I4" s="14"/>
      <c r="J4" s="14"/>
      <c r="K4" s="14"/>
      <c r="L4" s="14"/>
      <c r="M4" s="14"/>
      <c r="N4" s="14"/>
      <c r="O4" s="14"/>
      <c r="P4" s="14"/>
      <c r="Q4" s="14"/>
      <c r="R4" s="14"/>
      <c r="S4" s="14"/>
      <c r="T4" s="14"/>
      <c r="U4" s="14"/>
      <c r="V4" s="14"/>
      <c r="W4" s="14"/>
      <c r="X4" s="14"/>
    </row>
    <row r="5">
      <c r="A5" s="22" t="s">
        <v>23</v>
      </c>
      <c r="B5" s="26" t="s">
        <v>705</v>
      </c>
      <c r="C5" s="27"/>
      <c r="D5" s="28"/>
      <c r="E5" s="11"/>
      <c r="F5" s="11"/>
      <c r="G5" s="11"/>
      <c r="H5" s="11"/>
      <c r="I5" s="14"/>
      <c r="J5" s="14"/>
      <c r="K5" s="14"/>
      <c r="L5" s="14"/>
      <c r="M5" s="14"/>
      <c r="N5" s="14"/>
      <c r="O5" s="14"/>
      <c r="P5" s="14"/>
      <c r="Q5" s="14"/>
      <c r="R5" s="14"/>
      <c r="S5" s="14"/>
      <c r="T5" s="14"/>
      <c r="U5" s="14"/>
      <c r="V5" s="14"/>
      <c r="W5" s="14"/>
      <c r="X5" s="14"/>
    </row>
    <row r="6">
      <c r="A6" s="39" t="s">
        <v>14</v>
      </c>
      <c r="B6" s="42">
        <v>5.0</v>
      </c>
      <c r="C6" s="47" t="s">
        <v>16</v>
      </c>
      <c r="D6" s="49">
        <v>0.0</v>
      </c>
      <c r="E6" s="11"/>
      <c r="F6" s="11"/>
      <c r="G6" s="11"/>
      <c r="H6" s="11"/>
      <c r="I6" s="14"/>
      <c r="J6" s="14"/>
      <c r="K6" s="14"/>
      <c r="L6" s="14"/>
      <c r="M6" s="14"/>
      <c r="N6" s="14"/>
      <c r="O6" s="14"/>
      <c r="P6" s="14"/>
      <c r="Q6" s="14"/>
      <c r="R6" s="14"/>
      <c r="S6" s="14"/>
      <c r="T6" s="14"/>
      <c r="U6" s="14"/>
      <c r="V6" s="14"/>
      <c r="W6" s="14"/>
      <c r="X6" s="14"/>
    </row>
    <row r="7">
      <c r="A7" s="39" t="s">
        <v>15</v>
      </c>
      <c r="B7" s="42">
        <v>0.0</v>
      </c>
      <c r="C7" s="52" t="s">
        <v>36</v>
      </c>
      <c r="D7" s="49">
        <v>5.0</v>
      </c>
      <c r="E7" s="11"/>
      <c r="F7" s="11"/>
      <c r="G7" s="11"/>
      <c r="H7" s="11"/>
      <c r="I7" s="14"/>
      <c r="J7" s="14"/>
      <c r="K7" s="14"/>
      <c r="L7" s="14"/>
      <c r="M7" s="14"/>
      <c r="N7" s="14"/>
      <c r="O7" s="14"/>
      <c r="P7" s="14"/>
      <c r="Q7" s="14"/>
      <c r="R7" s="14"/>
      <c r="S7" s="14"/>
      <c r="T7" s="14"/>
      <c r="U7" s="14"/>
      <c r="V7" s="14"/>
      <c r="W7" s="14"/>
      <c r="X7" s="14"/>
    </row>
    <row r="8">
      <c r="A8" s="54"/>
      <c r="B8" s="56"/>
      <c r="C8" s="56"/>
      <c r="D8" s="56"/>
      <c r="E8" s="11"/>
      <c r="F8" s="11"/>
      <c r="G8" s="11"/>
      <c r="H8" s="11"/>
      <c r="I8" s="57"/>
      <c r="J8" s="57"/>
      <c r="K8" s="14"/>
      <c r="L8" s="14"/>
      <c r="M8" s="14"/>
      <c r="N8" s="14"/>
      <c r="O8" s="14"/>
      <c r="P8" s="14"/>
      <c r="Q8" s="14"/>
      <c r="R8" s="14"/>
      <c r="S8" s="14"/>
      <c r="T8" s="14"/>
      <c r="U8" s="14"/>
      <c r="V8" s="14"/>
      <c r="W8" s="14"/>
      <c r="X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row>
    <row r="12">
      <c r="A12" s="79" t="s">
        <v>706</v>
      </c>
      <c r="B12" s="27"/>
      <c r="C12" s="27"/>
      <c r="D12" s="27"/>
      <c r="E12" s="27"/>
      <c r="F12" s="27"/>
      <c r="G12" s="27"/>
      <c r="H12" s="27"/>
      <c r="I12" s="27"/>
      <c r="J12" s="28"/>
      <c r="K12" s="14"/>
      <c r="L12" s="14"/>
      <c r="M12" s="14"/>
      <c r="N12" s="14"/>
      <c r="O12" s="14"/>
      <c r="P12" s="14"/>
      <c r="Q12" s="14"/>
      <c r="R12" s="14"/>
      <c r="S12" s="14"/>
      <c r="T12" s="14"/>
      <c r="U12" s="14"/>
      <c r="V12" s="14"/>
      <c r="W12" s="14"/>
      <c r="X12" s="14"/>
    </row>
    <row r="13" ht="138.75" customHeight="1">
      <c r="A13" s="80" t="s">
        <v>707</v>
      </c>
      <c r="B13" s="81" t="s">
        <v>708</v>
      </c>
      <c r="C13" s="82" t="s">
        <v>709</v>
      </c>
      <c r="D13" s="83" t="s">
        <v>710</v>
      </c>
      <c r="E13" s="27"/>
      <c r="F13" s="27"/>
      <c r="G13" s="85" t="s">
        <v>711</v>
      </c>
      <c r="H13" s="86">
        <v>46247.0</v>
      </c>
      <c r="I13" s="80" t="s">
        <v>14</v>
      </c>
      <c r="J13" s="82" t="s">
        <v>712</v>
      </c>
      <c r="K13" s="14"/>
      <c r="L13" s="14"/>
      <c r="M13" s="14"/>
      <c r="N13" s="14"/>
      <c r="O13" s="14"/>
      <c r="P13" s="14"/>
      <c r="Q13" s="14"/>
      <c r="R13" s="14"/>
      <c r="S13" s="14"/>
      <c r="T13" s="14"/>
      <c r="U13" s="14"/>
      <c r="V13" s="14"/>
      <c r="W13" s="14"/>
      <c r="X13" s="14"/>
    </row>
    <row r="14" ht="130.5" customHeight="1">
      <c r="A14" s="80" t="s">
        <v>713</v>
      </c>
      <c r="B14" s="81" t="s">
        <v>714</v>
      </c>
      <c r="C14" s="82" t="s">
        <v>715</v>
      </c>
      <c r="D14" s="83" t="s">
        <v>716</v>
      </c>
      <c r="E14" s="27"/>
      <c r="F14" s="27"/>
      <c r="G14" s="85" t="s">
        <v>717</v>
      </c>
      <c r="H14" s="86">
        <v>46247.0</v>
      </c>
      <c r="I14" s="80" t="s">
        <v>14</v>
      </c>
      <c r="J14" s="82" t="s">
        <v>718</v>
      </c>
      <c r="K14" s="14"/>
      <c r="L14" s="14"/>
      <c r="M14" s="14"/>
      <c r="N14" s="14"/>
      <c r="O14" s="14"/>
      <c r="P14" s="14"/>
      <c r="Q14" s="14"/>
      <c r="R14" s="14"/>
      <c r="S14" s="14"/>
      <c r="T14" s="14"/>
      <c r="U14" s="14"/>
      <c r="V14" s="14"/>
      <c r="W14" s="14"/>
      <c r="X14" s="14"/>
    </row>
    <row r="15" ht="130.5" customHeight="1">
      <c r="A15" s="80" t="s">
        <v>719</v>
      </c>
      <c r="B15" s="81" t="s">
        <v>720</v>
      </c>
      <c r="C15" s="82" t="s">
        <v>721</v>
      </c>
      <c r="D15" s="83" t="s">
        <v>722</v>
      </c>
      <c r="E15" s="27"/>
      <c r="F15" s="27"/>
      <c r="G15" s="85" t="s">
        <v>723</v>
      </c>
      <c r="H15" s="86">
        <v>46247.0</v>
      </c>
      <c r="I15" s="80" t="s">
        <v>14</v>
      </c>
      <c r="J15" s="82" t="s">
        <v>724</v>
      </c>
      <c r="K15" s="14"/>
      <c r="L15" s="14"/>
      <c r="M15" s="14"/>
      <c r="N15" s="14"/>
      <c r="O15" s="14"/>
      <c r="P15" s="14"/>
      <c r="Q15" s="14"/>
      <c r="R15" s="14"/>
      <c r="S15" s="14"/>
      <c r="T15" s="14"/>
      <c r="U15" s="14"/>
      <c r="V15" s="14"/>
      <c r="W15" s="14"/>
      <c r="X15" s="14"/>
    </row>
    <row r="16">
      <c r="A16" s="79" t="s">
        <v>725</v>
      </c>
      <c r="B16" s="27"/>
      <c r="C16" s="27"/>
      <c r="D16" s="27"/>
      <c r="E16" s="27"/>
      <c r="F16" s="27"/>
      <c r="G16" s="27"/>
      <c r="H16" s="27"/>
      <c r="I16" s="27"/>
      <c r="J16" s="28"/>
      <c r="K16" s="14"/>
      <c r="L16" s="14"/>
      <c r="M16" s="14"/>
      <c r="N16" s="14"/>
      <c r="O16" s="14"/>
      <c r="P16" s="14"/>
      <c r="Q16" s="14"/>
      <c r="R16" s="14"/>
      <c r="S16" s="14"/>
      <c r="T16" s="14"/>
      <c r="U16" s="14"/>
      <c r="V16" s="14"/>
      <c r="W16" s="14"/>
      <c r="X16" s="14"/>
    </row>
    <row r="17" ht="183.75" customHeight="1">
      <c r="A17" s="80" t="s">
        <v>726</v>
      </c>
      <c r="B17" s="81" t="s">
        <v>727</v>
      </c>
      <c r="C17" s="82" t="s">
        <v>728</v>
      </c>
      <c r="D17" s="83" t="s">
        <v>729</v>
      </c>
      <c r="E17" s="27"/>
      <c r="F17" s="27"/>
      <c r="G17" s="85" t="s">
        <v>730</v>
      </c>
      <c r="H17" s="86">
        <v>46247.0</v>
      </c>
      <c r="I17" s="80" t="s">
        <v>14</v>
      </c>
      <c r="J17" s="82" t="s">
        <v>731</v>
      </c>
      <c r="K17" s="14"/>
      <c r="L17" s="14"/>
      <c r="M17" s="14"/>
      <c r="N17" s="14"/>
      <c r="O17" s="14"/>
      <c r="P17" s="14"/>
      <c r="Q17" s="14"/>
      <c r="R17" s="14"/>
      <c r="S17" s="14"/>
      <c r="T17" s="14"/>
      <c r="U17" s="14"/>
      <c r="V17" s="14"/>
      <c r="W17" s="14"/>
      <c r="X17" s="14"/>
    </row>
    <row r="18" ht="183.75" customHeight="1">
      <c r="A18" s="80" t="s">
        <v>732</v>
      </c>
      <c r="B18" s="81" t="s">
        <v>733</v>
      </c>
      <c r="C18" s="82" t="s">
        <v>734</v>
      </c>
      <c r="D18" s="83" t="s">
        <v>735</v>
      </c>
      <c r="E18" s="27"/>
      <c r="F18" s="27"/>
      <c r="G18" s="85" t="s">
        <v>736</v>
      </c>
      <c r="H18" s="86">
        <v>46247.0</v>
      </c>
      <c r="I18" s="80" t="s">
        <v>14</v>
      </c>
      <c r="J18" s="82" t="s">
        <v>737</v>
      </c>
      <c r="K18" s="14"/>
      <c r="L18" s="14"/>
      <c r="M18" s="14"/>
      <c r="N18" s="14"/>
      <c r="O18" s="14"/>
      <c r="P18" s="14"/>
      <c r="Q18" s="14"/>
      <c r="R18" s="14"/>
      <c r="S18" s="14"/>
      <c r="T18" s="14"/>
      <c r="U18" s="14"/>
      <c r="V18" s="14"/>
      <c r="W18" s="14"/>
      <c r="X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row>
    <row r="21">
      <c r="K21" s="14"/>
      <c r="L21" s="14"/>
      <c r="M21" s="14"/>
      <c r="N21" s="14"/>
      <c r="O21" s="14"/>
      <c r="P21" s="14"/>
      <c r="Q21" s="14"/>
      <c r="R21" s="14"/>
      <c r="S21" s="14"/>
      <c r="T21" s="14"/>
      <c r="U21" s="14"/>
      <c r="V21" s="14"/>
      <c r="W21" s="14"/>
      <c r="X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row>
    <row r="29">
      <c r="A29" s="14"/>
      <c r="B29" s="14"/>
      <c r="C29" s="14"/>
      <c r="D29" s="14"/>
      <c r="E29" s="14"/>
      <c r="F29" s="14"/>
      <c r="G29" s="127"/>
      <c r="H29" s="14"/>
      <c r="I29" s="14"/>
      <c r="J29" s="14"/>
      <c r="K29" s="14"/>
      <c r="L29" s="14"/>
      <c r="M29" s="14"/>
      <c r="N29" s="14"/>
      <c r="O29" s="14"/>
      <c r="P29" s="14"/>
      <c r="Q29" s="14"/>
      <c r="R29" s="14"/>
      <c r="S29" s="14"/>
      <c r="T29" s="14"/>
      <c r="U29" s="14"/>
      <c r="V29" s="14"/>
      <c r="W29" s="14"/>
      <c r="X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row>
  </sheetData>
  <mergeCells count="20">
    <mergeCell ref="B1:D2"/>
    <mergeCell ref="B3:D3"/>
    <mergeCell ref="B4:D4"/>
    <mergeCell ref="B5:D5"/>
    <mergeCell ref="A9:A10"/>
    <mergeCell ref="B9:B10"/>
    <mergeCell ref="C9:C10"/>
    <mergeCell ref="D13:F13"/>
    <mergeCell ref="D14:F14"/>
    <mergeCell ref="D15:F15"/>
    <mergeCell ref="A16:J16"/>
    <mergeCell ref="D17:F17"/>
    <mergeCell ref="D18:F18"/>
    <mergeCell ref="D9:F10"/>
    <mergeCell ref="G9:G10"/>
    <mergeCell ref="H9:H10"/>
    <mergeCell ref="I9:I10"/>
    <mergeCell ref="J9:J10"/>
    <mergeCell ref="B11:J11"/>
    <mergeCell ref="A12:J12"/>
  </mergeCells>
  <hyperlinks>
    <hyperlink r:id="rId1" ref="G13"/>
    <hyperlink r:id="rId2" ref="G14"/>
    <hyperlink r:id="rId3" ref="G15"/>
    <hyperlink r:id="rId4" ref="G17"/>
    <hyperlink r:id="rId5" ref="G18"/>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8" t="s">
        <v>3</v>
      </c>
      <c r="B1" s="11"/>
      <c r="E1" s="11"/>
      <c r="F1" s="11"/>
      <c r="G1" s="11"/>
      <c r="H1" s="11"/>
      <c r="I1" s="11"/>
      <c r="J1" s="11"/>
      <c r="K1" s="14"/>
      <c r="L1" s="14"/>
      <c r="M1" s="14"/>
      <c r="N1" s="14"/>
      <c r="O1" s="14"/>
      <c r="P1" s="14"/>
      <c r="Q1" s="14"/>
      <c r="R1" s="14"/>
      <c r="S1" s="14"/>
      <c r="T1" s="14"/>
      <c r="U1" s="14"/>
      <c r="V1" s="14"/>
      <c r="W1" s="14"/>
      <c r="X1" s="14"/>
      <c r="Y1" s="14"/>
      <c r="Z1" s="14"/>
      <c r="AA1" s="14"/>
    </row>
    <row r="2">
      <c r="A2" s="11"/>
      <c r="B2" s="17"/>
      <c r="C2" s="17"/>
      <c r="D2" s="17"/>
      <c r="E2" s="11"/>
      <c r="F2" s="11"/>
      <c r="G2" s="11"/>
      <c r="H2" s="11"/>
      <c r="I2" s="11"/>
      <c r="J2" s="11"/>
      <c r="K2" s="14"/>
      <c r="L2" s="14"/>
      <c r="M2" s="14"/>
      <c r="N2" s="14"/>
      <c r="O2" s="14"/>
      <c r="P2" s="14"/>
      <c r="Q2" s="14"/>
      <c r="R2" s="14"/>
      <c r="S2" s="14"/>
      <c r="T2" s="14"/>
      <c r="U2" s="14"/>
      <c r="V2" s="14"/>
      <c r="W2" s="14"/>
      <c r="X2" s="14"/>
      <c r="Y2" s="14"/>
      <c r="Z2" s="14"/>
      <c r="AA2" s="14"/>
    </row>
    <row r="3">
      <c r="A3" s="22" t="s">
        <v>10</v>
      </c>
      <c r="B3" s="26" t="s">
        <v>13</v>
      </c>
      <c r="C3" s="27"/>
      <c r="D3" s="28"/>
      <c r="E3" s="11"/>
      <c r="F3" s="11"/>
      <c r="G3" s="11"/>
      <c r="H3" s="11"/>
      <c r="I3" s="14"/>
      <c r="J3" s="14"/>
      <c r="K3" s="14"/>
      <c r="L3" s="14"/>
      <c r="M3" s="14"/>
      <c r="N3" s="14"/>
      <c r="O3" s="14"/>
      <c r="P3" s="14"/>
      <c r="Q3" s="14"/>
      <c r="R3" s="14"/>
      <c r="S3" s="14"/>
      <c r="T3" s="14"/>
      <c r="U3" s="14"/>
      <c r="V3" s="14"/>
      <c r="W3" s="14"/>
      <c r="X3" s="14"/>
      <c r="Y3" s="14"/>
      <c r="Z3" s="14"/>
      <c r="AA3" s="14"/>
    </row>
    <row r="4">
      <c r="A4" s="22" t="s">
        <v>19</v>
      </c>
      <c r="B4" s="33" t="s">
        <v>738</v>
      </c>
      <c r="C4" s="27"/>
      <c r="D4" s="28"/>
      <c r="E4" s="11"/>
      <c r="F4" s="11"/>
      <c r="G4" s="11"/>
      <c r="H4" s="11"/>
      <c r="I4" s="14"/>
      <c r="J4" s="14"/>
      <c r="K4" s="14"/>
      <c r="L4" s="14"/>
      <c r="M4" s="14"/>
      <c r="N4" s="14"/>
      <c r="O4" s="14"/>
      <c r="P4" s="14"/>
      <c r="Q4" s="14"/>
      <c r="R4" s="14"/>
      <c r="S4" s="14"/>
      <c r="T4" s="14"/>
      <c r="U4" s="14"/>
      <c r="V4" s="14"/>
      <c r="W4" s="14"/>
      <c r="X4" s="14"/>
      <c r="Y4" s="14"/>
      <c r="Z4" s="14"/>
      <c r="AA4" s="14"/>
    </row>
    <row r="5">
      <c r="A5" s="22" t="s">
        <v>23</v>
      </c>
      <c r="B5" s="26" t="s">
        <v>739</v>
      </c>
      <c r="C5" s="27"/>
      <c r="D5" s="28"/>
      <c r="E5" s="11"/>
      <c r="F5" s="11"/>
      <c r="G5" s="11"/>
      <c r="H5" s="11"/>
      <c r="I5" s="14"/>
      <c r="J5" s="14"/>
      <c r="K5" s="14"/>
      <c r="L5" s="14"/>
      <c r="M5" s="14"/>
      <c r="N5" s="14"/>
      <c r="O5" s="14"/>
      <c r="P5" s="14"/>
      <c r="Q5" s="14"/>
      <c r="R5" s="14"/>
      <c r="S5" s="14"/>
      <c r="T5" s="14"/>
      <c r="U5" s="14"/>
      <c r="V5" s="14"/>
      <c r="W5" s="14"/>
      <c r="X5" s="14"/>
      <c r="Y5" s="14"/>
      <c r="Z5" s="14"/>
      <c r="AA5" s="14"/>
    </row>
    <row r="6">
      <c r="A6" s="39" t="s">
        <v>14</v>
      </c>
      <c r="B6" s="42">
        <v>4.0</v>
      </c>
      <c r="C6" s="47" t="s">
        <v>16</v>
      </c>
      <c r="D6" s="49">
        <v>0.0</v>
      </c>
      <c r="E6" s="11"/>
      <c r="F6" s="11"/>
      <c r="G6" s="11"/>
      <c r="H6" s="11"/>
      <c r="I6" s="14"/>
      <c r="J6" s="14"/>
      <c r="K6" s="14"/>
      <c r="L6" s="14"/>
      <c r="M6" s="14"/>
      <c r="N6" s="14"/>
      <c r="O6" s="14"/>
      <c r="P6" s="14"/>
      <c r="Q6" s="14"/>
      <c r="R6" s="14"/>
      <c r="S6" s="14"/>
      <c r="T6" s="14"/>
      <c r="U6" s="14"/>
      <c r="V6" s="14"/>
      <c r="W6" s="14"/>
      <c r="X6" s="14"/>
      <c r="Y6" s="14"/>
      <c r="Z6" s="14"/>
      <c r="AA6" s="14"/>
    </row>
    <row r="7">
      <c r="A7" s="39" t="s">
        <v>15</v>
      </c>
      <c r="B7" s="42">
        <v>5.0</v>
      </c>
      <c r="C7" s="52" t="s">
        <v>36</v>
      </c>
      <c r="D7" s="49">
        <v>9.0</v>
      </c>
      <c r="E7" s="11"/>
      <c r="F7" s="11"/>
      <c r="G7" s="11"/>
      <c r="H7" s="11"/>
      <c r="I7" s="14"/>
      <c r="J7" s="14"/>
      <c r="K7" s="14"/>
      <c r="L7" s="14"/>
      <c r="M7" s="14"/>
      <c r="N7" s="14"/>
      <c r="O7" s="14"/>
      <c r="P7" s="14"/>
      <c r="Q7" s="14"/>
      <c r="R7" s="14"/>
      <c r="S7" s="14"/>
      <c r="T7" s="14"/>
      <c r="U7" s="14"/>
      <c r="V7" s="14"/>
      <c r="W7" s="14"/>
      <c r="X7" s="14"/>
      <c r="Y7" s="14"/>
      <c r="Z7" s="14"/>
      <c r="AA7" s="14"/>
    </row>
    <row r="8">
      <c r="A8" s="54"/>
      <c r="B8" s="56"/>
      <c r="C8" s="56"/>
      <c r="D8" s="56"/>
      <c r="E8" s="11"/>
      <c r="F8" s="11"/>
      <c r="G8" s="11"/>
      <c r="H8" s="11"/>
      <c r="I8" s="57"/>
      <c r="J8" s="57"/>
      <c r="K8" s="14"/>
      <c r="L8" s="14"/>
      <c r="M8" s="14"/>
      <c r="N8" s="14"/>
      <c r="O8" s="14"/>
      <c r="P8" s="14"/>
      <c r="Q8" s="14"/>
      <c r="R8" s="14"/>
      <c r="S8" s="14"/>
      <c r="T8" s="14"/>
      <c r="U8" s="14"/>
      <c r="V8" s="14"/>
      <c r="W8" s="14"/>
      <c r="X8" s="14"/>
      <c r="Y8" s="14"/>
      <c r="Z8" s="14"/>
      <c r="AA8" s="14"/>
    </row>
    <row r="9">
      <c r="A9" s="59" t="s">
        <v>38</v>
      </c>
      <c r="B9" s="60" t="s">
        <v>39</v>
      </c>
      <c r="C9" s="59" t="s">
        <v>40</v>
      </c>
      <c r="D9" s="64" t="s">
        <v>41</v>
      </c>
      <c r="G9" s="59" t="s">
        <v>43</v>
      </c>
      <c r="H9" s="67" t="s">
        <v>44</v>
      </c>
      <c r="I9" s="67" t="s">
        <v>49</v>
      </c>
      <c r="J9" s="67" t="s">
        <v>50</v>
      </c>
      <c r="K9" s="69" t="s">
        <v>51</v>
      </c>
      <c r="L9" s="67" t="s">
        <v>52</v>
      </c>
      <c r="M9" s="67" t="s">
        <v>54</v>
      </c>
      <c r="N9" s="14"/>
      <c r="O9" s="14"/>
      <c r="P9" s="14"/>
      <c r="Q9" s="14"/>
      <c r="R9" s="14"/>
      <c r="S9" s="14"/>
      <c r="T9" s="14"/>
      <c r="U9" s="14"/>
      <c r="V9" s="14"/>
      <c r="W9" s="14"/>
      <c r="X9" s="14"/>
      <c r="Y9" s="14"/>
      <c r="Z9" s="14"/>
      <c r="AA9" s="14"/>
    </row>
    <row r="10">
      <c r="A10" s="72"/>
      <c r="B10" s="72"/>
      <c r="C10" s="72"/>
      <c r="D10" s="75"/>
      <c r="E10" s="17"/>
      <c r="F10" s="17"/>
      <c r="G10" s="72"/>
      <c r="H10" s="72"/>
      <c r="I10" s="72"/>
      <c r="J10" s="72"/>
      <c r="K10" s="72"/>
      <c r="L10" s="72"/>
      <c r="M10" s="72"/>
      <c r="N10" s="14"/>
      <c r="O10" s="14"/>
      <c r="P10" s="14"/>
      <c r="Q10" s="14"/>
      <c r="R10" s="14"/>
      <c r="S10" s="14"/>
      <c r="T10" s="14"/>
      <c r="U10" s="14"/>
      <c r="V10" s="14"/>
      <c r="W10" s="14"/>
      <c r="X10" s="14"/>
      <c r="Y10" s="14"/>
      <c r="Z10" s="14"/>
      <c r="AA10" s="14"/>
    </row>
    <row r="11">
      <c r="A11" s="77"/>
      <c r="B11" s="56"/>
      <c r="C11" s="27"/>
      <c r="D11" s="27"/>
      <c r="E11" s="27"/>
      <c r="F11" s="27"/>
      <c r="G11" s="27"/>
      <c r="H11" s="27"/>
      <c r="I11" s="27"/>
      <c r="J11" s="27"/>
      <c r="K11" s="27"/>
      <c r="L11" s="27"/>
      <c r="M11" s="27"/>
      <c r="N11" s="14"/>
      <c r="O11" s="14"/>
      <c r="P11" s="14"/>
      <c r="Q11" s="14"/>
      <c r="R11" s="14"/>
      <c r="S11" s="14"/>
      <c r="T11" s="14"/>
      <c r="U11" s="14"/>
      <c r="V11" s="14"/>
      <c r="W11" s="14"/>
      <c r="X11" s="14"/>
      <c r="Y11" s="14"/>
      <c r="Z11" s="14"/>
      <c r="AA11" s="14"/>
    </row>
    <row r="12">
      <c r="A12" s="79" t="s">
        <v>740</v>
      </c>
      <c r="B12" s="27"/>
      <c r="C12" s="27"/>
      <c r="D12" s="27"/>
      <c r="E12" s="27"/>
      <c r="F12" s="27"/>
      <c r="G12" s="27"/>
      <c r="H12" s="27"/>
      <c r="I12" s="27"/>
      <c r="J12" s="27"/>
      <c r="K12" s="27"/>
      <c r="L12" s="27"/>
      <c r="M12" s="28"/>
      <c r="N12" s="14"/>
      <c r="O12" s="14"/>
      <c r="P12" s="14"/>
      <c r="Q12" s="14"/>
      <c r="R12" s="14"/>
      <c r="S12" s="14"/>
      <c r="T12" s="14"/>
      <c r="U12" s="14"/>
      <c r="V12" s="14"/>
      <c r="W12" s="14"/>
      <c r="X12" s="14"/>
      <c r="Y12" s="14"/>
      <c r="Z12" s="14"/>
      <c r="AA12" s="14"/>
    </row>
    <row r="13" ht="138.75" customHeight="1">
      <c r="A13" s="80" t="s">
        <v>741</v>
      </c>
      <c r="B13" s="81" t="s">
        <v>742</v>
      </c>
      <c r="C13" s="82" t="s">
        <v>743</v>
      </c>
      <c r="D13" s="83" t="s">
        <v>744</v>
      </c>
      <c r="E13" s="27"/>
      <c r="F13" s="27"/>
      <c r="G13" s="85" t="s">
        <v>745</v>
      </c>
      <c r="H13" s="86">
        <v>46248.0</v>
      </c>
      <c r="I13" s="80" t="s">
        <v>14</v>
      </c>
      <c r="J13" s="82" t="s">
        <v>746</v>
      </c>
      <c r="K13" s="87"/>
      <c r="L13" s="87"/>
      <c r="M13" s="88"/>
      <c r="N13" s="14"/>
      <c r="O13" s="14"/>
      <c r="P13" s="14"/>
      <c r="Q13" s="14"/>
      <c r="R13" s="14"/>
      <c r="S13" s="14"/>
      <c r="T13" s="14"/>
      <c r="U13" s="14"/>
      <c r="V13" s="14"/>
      <c r="W13" s="14"/>
      <c r="X13" s="14"/>
      <c r="Y13" s="14"/>
      <c r="Z13" s="14"/>
      <c r="AA13" s="14"/>
    </row>
    <row r="14" ht="104.25" customHeight="1">
      <c r="A14" s="80" t="s">
        <v>747</v>
      </c>
      <c r="B14" s="81" t="s">
        <v>748</v>
      </c>
      <c r="C14" s="82" t="s">
        <v>749</v>
      </c>
      <c r="D14" s="83" t="s">
        <v>750</v>
      </c>
      <c r="E14" s="27"/>
      <c r="F14" s="27"/>
      <c r="G14" s="85" t="s">
        <v>751</v>
      </c>
      <c r="H14" s="86">
        <v>46248.0</v>
      </c>
      <c r="I14" s="80" t="s">
        <v>15</v>
      </c>
      <c r="J14" s="82" t="s">
        <v>752</v>
      </c>
      <c r="K14" s="86">
        <v>46248.0</v>
      </c>
      <c r="L14" s="80" t="s">
        <v>14</v>
      </c>
      <c r="M14" s="85" t="s">
        <v>753</v>
      </c>
      <c r="N14" s="14"/>
      <c r="O14" s="14"/>
      <c r="P14" s="14"/>
      <c r="Q14" s="14"/>
      <c r="R14" s="14"/>
      <c r="S14" s="14"/>
      <c r="T14" s="14"/>
      <c r="U14" s="14"/>
      <c r="V14" s="14"/>
      <c r="W14" s="14"/>
      <c r="X14" s="14"/>
      <c r="Y14" s="14"/>
      <c r="Z14" s="14"/>
      <c r="AA14" s="14"/>
    </row>
    <row r="15" ht="15.75" customHeight="1">
      <c r="A15" s="79" t="s">
        <v>754</v>
      </c>
      <c r="B15" s="27"/>
      <c r="C15" s="27"/>
      <c r="D15" s="27"/>
      <c r="E15" s="27"/>
      <c r="F15" s="27"/>
      <c r="G15" s="27"/>
      <c r="H15" s="27"/>
      <c r="I15" s="27"/>
      <c r="J15" s="27"/>
      <c r="K15" s="27"/>
      <c r="L15" s="27"/>
      <c r="M15" s="28"/>
      <c r="N15" s="14"/>
      <c r="O15" s="14"/>
      <c r="P15" s="14"/>
      <c r="Q15" s="14"/>
      <c r="R15" s="14"/>
      <c r="S15" s="14"/>
      <c r="T15" s="14"/>
      <c r="U15" s="14"/>
      <c r="V15" s="14"/>
      <c r="W15" s="14"/>
      <c r="X15" s="14"/>
      <c r="Y15" s="14"/>
      <c r="Z15" s="14"/>
      <c r="AA15" s="14"/>
    </row>
    <row r="16" ht="152.25" customHeight="1">
      <c r="A16" s="80" t="s">
        <v>755</v>
      </c>
      <c r="B16" s="81" t="s">
        <v>756</v>
      </c>
      <c r="C16" s="82" t="s">
        <v>757</v>
      </c>
      <c r="D16" s="83" t="s">
        <v>758</v>
      </c>
      <c r="E16" s="27"/>
      <c r="F16" s="27"/>
      <c r="G16" s="85" t="s">
        <v>759</v>
      </c>
      <c r="H16" s="86">
        <v>46248.0</v>
      </c>
      <c r="I16" s="80" t="s">
        <v>15</v>
      </c>
      <c r="J16" s="82" t="s">
        <v>760</v>
      </c>
      <c r="K16" s="86">
        <v>46248.0</v>
      </c>
      <c r="L16" s="80" t="s">
        <v>14</v>
      </c>
      <c r="M16" s="85" t="s">
        <v>761</v>
      </c>
      <c r="N16" s="14"/>
      <c r="O16" s="14"/>
      <c r="P16" s="14"/>
      <c r="Q16" s="14"/>
      <c r="R16" s="14"/>
      <c r="S16" s="14"/>
      <c r="T16" s="14"/>
      <c r="U16" s="14"/>
      <c r="V16" s="14"/>
      <c r="W16" s="14"/>
      <c r="X16" s="14"/>
      <c r="Y16" s="14"/>
      <c r="Z16" s="14"/>
      <c r="AA16" s="14"/>
    </row>
    <row r="17">
      <c r="A17" s="79" t="s">
        <v>762</v>
      </c>
      <c r="B17" s="27"/>
      <c r="C17" s="27"/>
      <c r="D17" s="27"/>
      <c r="E17" s="27"/>
      <c r="F17" s="27"/>
      <c r="G17" s="27"/>
      <c r="H17" s="27"/>
      <c r="I17" s="27"/>
      <c r="J17" s="27"/>
      <c r="K17" s="27"/>
      <c r="L17" s="27"/>
      <c r="M17" s="28"/>
      <c r="N17" s="14"/>
      <c r="O17" s="14"/>
      <c r="P17" s="14"/>
      <c r="Q17" s="14"/>
      <c r="R17" s="14"/>
      <c r="S17" s="14"/>
      <c r="T17" s="14"/>
      <c r="U17" s="14"/>
      <c r="V17" s="14"/>
      <c r="W17" s="14"/>
      <c r="X17" s="14"/>
      <c r="Y17" s="14"/>
      <c r="Z17" s="14"/>
      <c r="AA17" s="14"/>
    </row>
    <row r="18" ht="141.75" customHeight="1">
      <c r="A18" s="80" t="s">
        <v>763</v>
      </c>
      <c r="B18" s="81" t="s">
        <v>764</v>
      </c>
      <c r="C18" s="82" t="s">
        <v>765</v>
      </c>
      <c r="D18" s="83" t="s">
        <v>766</v>
      </c>
      <c r="E18" s="27"/>
      <c r="F18" s="27"/>
      <c r="G18" s="85" t="s">
        <v>767</v>
      </c>
      <c r="H18" s="86">
        <v>46248.0</v>
      </c>
      <c r="I18" s="80" t="s">
        <v>14</v>
      </c>
      <c r="J18" s="82" t="s">
        <v>768</v>
      </c>
      <c r="K18" s="86"/>
      <c r="L18" s="80"/>
      <c r="M18" s="82"/>
      <c r="N18" s="14"/>
      <c r="O18" s="14"/>
      <c r="P18" s="14"/>
      <c r="Q18" s="14"/>
      <c r="R18" s="14"/>
      <c r="S18" s="14"/>
      <c r="T18" s="14"/>
      <c r="U18" s="14"/>
      <c r="V18" s="14"/>
      <c r="W18" s="14"/>
      <c r="X18" s="14"/>
      <c r="Y18" s="14"/>
      <c r="Z18" s="14"/>
      <c r="AA18" s="14"/>
    </row>
    <row r="19" ht="192.75" customHeight="1">
      <c r="A19" s="80" t="s">
        <v>769</v>
      </c>
      <c r="B19" s="81" t="s">
        <v>770</v>
      </c>
      <c r="C19" s="82" t="s">
        <v>771</v>
      </c>
      <c r="D19" s="83" t="s">
        <v>772</v>
      </c>
      <c r="E19" s="27"/>
      <c r="F19" s="27"/>
      <c r="G19" s="85" t="s">
        <v>773</v>
      </c>
      <c r="H19" s="86">
        <v>46248.0</v>
      </c>
      <c r="I19" s="80" t="s">
        <v>14</v>
      </c>
      <c r="J19" s="82" t="s">
        <v>774</v>
      </c>
      <c r="K19" s="86"/>
      <c r="L19" s="80"/>
      <c r="M19" s="82"/>
      <c r="N19" s="14"/>
      <c r="O19" s="14"/>
      <c r="P19" s="14"/>
      <c r="Q19" s="14"/>
      <c r="R19" s="14"/>
      <c r="S19" s="14"/>
      <c r="T19" s="14"/>
      <c r="U19" s="14"/>
      <c r="V19" s="14"/>
      <c r="W19" s="14"/>
      <c r="X19" s="14"/>
      <c r="Y19" s="14"/>
      <c r="Z19" s="14"/>
      <c r="AA19" s="14"/>
    </row>
    <row r="20" ht="14.25" customHeight="1">
      <c r="A20" s="79" t="s">
        <v>775</v>
      </c>
      <c r="B20" s="27"/>
      <c r="C20" s="27"/>
      <c r="D20" s="27"/>
      <c r="E20" s="27"/>
      <c r="F20" s="27"/>
      <c r="G20" s="27"/>
      <c r="H20" s="27"/>
      <c r="I20" s="27"/>
      <c r="J20" s="27"/>
      <c r="K20" s="27"/>
      <c r="L20" s="27"/>
      <c r="M20" s="28"/>
      <c r="N20" s="14"/>
      <c r="O20" s="14"/>
      <c r="P20" s="14"/>
      <c r="Q20" s="14"/>
      <c r="R20" s="14"/>
      <c r="S20" s="14"/>
      <c r="T20" s="14"/>
      <c r="U20" s="14"/>
      <c r="V20" s="14"/>
      <c r="W20" s="14"/>
      <c r="X20" s="14"/>
      <c r="Y20" s="14"/>
      <c r="Z20" s="14"/>
      <c r="AA20" s="14"/>
    </row>
    <row r="21" ht="162.75" customHeight="1">
      <c r="A21" s="80" t="s">
        <v>776</v>
      </c>
      <c r="B21" s="81" t="s">
        <v>777</v>
      </c>
      <c r="C21" s="82" t="s">
        <v>778</v>
      </c>
      <c r="D21" s="83" t="s">
        <v>779</v>
      </c>
      <c r="E21" s="27"/>
      <c r="F21" s="27"/>
      <c r="G21" s="85" t="s">
        <v>780</v>
      </c>
      <c r="H21" s="86">
        <v>46248.0</v>
      </c>
      <c r="I21" s="80" t="s">
        <v>15</v>
      </c>
      <c r="J21" s="82" t="s">
        <v>781</v>
      </c>
      <c r="K21" s="86">
        <v>46249.0</v>
      </c>
      <c r="L21" s="80" t="s">
        <v>14</v>
      </c>
      <c r="M21" s="85" t="s">
        <v>782</v>
      </c>
      <c r="N21" s="14"/>
      <c r="O21" s="14"/>
      <c r="P21" s="14"/>
      <c r="Q21" s="14"/>
      <c r="R21" s="14"/>
      <c r="S21" s="14"/>
      <c r="T21" s="14"/>
      <c r="U21" s="14"/>
      <c r="V21" s="14"/>
      <c r="W21" s="14"/>
      <c r="X21" s="14"/>
      <c r="Y21" s="14"/>
      <c r="Z21" s="14"/>
      <c r="AA21" s="14"/>
    </row>
    <row r="22" ht="13.5" customHeight="1">
      <c r="A22" s="79" t="s">
        <v>784</v>
      </c>
      <c r="B22" s="27"/>
      <c r="C22" s="27"/>
      <c r="D22" s="27"/>
      <c r="E22" s="27"/>
      <c r="F22" s="27"/>
      <c r="G22" s="27"/>
      <c r="H22" s="27"/>
      <c r="I22" s="27"/>
      <c r="J22" s="27"/>
      <c r="K22" s="27"/>
      <c r="L22" s="27"/>
      <c r="M22" s="28"/>
      <c r="N22" s="134"/>
      <c r="AA22" s="14"/>
    </row>
    <row r="23" ht="155.25" customHeight="1">
      <c r="A23" s="80" t="s">
        <v>785</v>
      </c>
      <c r="B23" s="81" t="s">
        <v>787</v>
      </c>
      <c r="C23" s="82" t="s">
        <v>788</v>
      </c>
      <c r="D23" s="83" t="s">
        <v>789</v>
      </c>
      <c r="E23" s="27"/>
      <c r="F23" s="27"/>
      <c r="G23" s="129" t="s">
        <v>790</v>
      </c>
      <c r="H23" s="86">
        <v>46248.0</v>
      </c>
      <c r="I23" s="80" t="s">
        <v>15</v>
      </c>
      <c r="J23" s="82" t="s">
        <v>791</v>
      </c>
      <c r="K23" s="86">
        <v>46249.0</v>
      </c>
      <c r="L23" s="80" t="s">
        <v>14</v>
      </c>
      <c r="M23" s="85" t="s">
        <v>792</v>
      </c>
      <c r="N23" s="14"/>
      <c r="O23" s="14"/>
      <c r="P23" s="14"/>
      <c r="Q23" s="14"/>
      <c r="R23" s="14"/>
      <c r="S23" s="14"/>
      <c r="T23" s="14"/>
      <c r="U23" s="14"/>
      <c r="V23" s="14"/>
      <c r="W23" s="14"/>
      <c r="X23" s="14"/>
      <c r="Y23" s="14"/>
      <c r="Z23" s="14"/>
      <c r="AA23" s="14"/>
    </row>
    <row r="24">
      <c r="A24" s="79" t="s">
        <v>793</v>
      </c>
      <c r="B24" s="27"/>
      <c r="C24" s="27"/>
      <c r="D24" s="27"/>
      <c r="E24" s="27"/>
      <c r="F24" s="27"/>
      <c r="G24" s="27"/>
      <c r="H24" s="27"/>
      <c r="I24" s="27"/>
      <c r="J24" s="27"/>
      <c r="K24" s="27"/>
      <c r="L24" s="27"/>
      <c r="M24" s="28"/>
      <c r="N24" s="135"/>
      <c r="AA24" s="14"/>
    </row>
    <row r="25" ht="165.0" customHeight="1">
      <c r="A25" s="80" t="s">
        <v>794</v>
      </c>
      <c r="B25" s="81" t="s">
        <v>795</v>
      </c>
      <c r="C25" s="82" t="s">
        <v>796</v>
      </c>
      <c r="D25" s="83" t="s">
        <v>797</v>
      </c>
      <c r="E25" s="27"/>
      <c r="F25" s="27"/>
      <c r="G25" s="85" t="s">
        <v>798</v>
      </c>
      <c r="H25" s="86">
        <v>46248.0</v>
      </c>
      <c r="I25" s="80" t="s">
        <v>14</v>
      </c>
      <c r="J25" s="82" t="s">
        <v>799</v>
      </c>
      <c r="K25" s="86"/>
      <c r="L25" s="80"/>
      <c r="M25" s="82"/>
      <c r="N25" s="14"/>
      <c r="O25" s="14"/>
      <c r="P25" s="14"/>
      <c r="Q25" s="14"/>
      <c r="R25" s="14"/>
      <c r="S25" s="14"/>
      <c r="T25" s="14"/>
      <c r="U25" s="14"/>
      <c r="V25" s="14"/>
      <c r="W25" s="14"/>
      <c r="X25" s="14"/>
      <c r="Y25" s="14"/>
      <c r="Z25" s="14"/>
      <c r="AA25" s="14"/>
    </row>
    <row r="26" ht="174.0" customHeight="1">
      <c r="A26" s="80" t="s">
        <v>800</v>
      </c>
      <c r="B26" s="81" t="s">
        <v>801</v>
      </c>
      <c r="C26" s="82" t="s">
        <v>802</v>
      </c>
      <c r="D26" s="83" t="s">
        <v>803</v>
      </c>
      <c r="E26" s="27"/>
      <c r="F26" s="27"/>
      <c r="G26" s="136" t="s">
        <v>804</v>
      </c>
      <c r="H26" s="139" t="s">
        <v>805</v>
      </c>
      <c r="I26" s="80" t="s">
        <v>15</v>
      </c>
      <c r="J26" s="82" t="s">
        <v>806</v>
      </c>
      <c r="K26" s="86"/>
      <c r="L26" s="80"/>
      <c r="M26" s="126"/>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27"/>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sheetData>
  <mergeCells count="33">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19:F19"/>
    <mergeCell ref="D21:F21"/>
    <mergeCell ref="D23:F23"/>
    <mergeCell ref="D25:F25"/>
    <mergeCell ref="D26:F26"/>
    <mergeCell ref="A20:M20"/>
    <mergeCell ref="A22:M22"/>
    <mergeCell ref="N22:Z22"/>
    <mergeCell ref="A24:M24"/>
    <mergeCell ref="N24:Z24"/>
    <mergeCell ref="D9:F10"/>
    <mergeCell ref="B11:M11"/>
    <mergeCell ref="A12:M12"/>
    <mergeCell ref="D13:F13"/>
    <mergeCell ref="D14:F14"/>
    <mergeCell ref="A15:M15"/>
    <mergeCell ref="A17:M17"/>
  </mergeCells>
  <hyperlinks>
    <hyperlink r:id="rId1" ref="G13"/>
    <hyperlink r:id="rId2" ref="G14"/>
    <hyperlink r:id="rId3" ref="M14"/>
    <hyperlink r:id="rId4" ref="G16"/>
    <hyperlink r:id="rId5" ref="M16"/>
    <hyperlink r:id="rId6" ref="G18"/>
    <hyperlink r:id="rId7" ref="G19"/>
    <hyperlink r:id="rId8" ref="G21"/>
    <hyperlink r:id="rId9" ref="M21"/>
    <hyperlink r:id="rId10" ref="G23"/>
    <hyperlink r:id="rId11" ref="M23"/>
    <hyperlink r:id="rId12" ref="G25"/>
    <hyperlink r:id="rId13" ref="G26"/>
  </hyperlinks>
  <drawing r:id="rId1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13"/>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8" t="s">
        <v>3</v>
      </c>
      <c r="B1" s="11"/>
      <c r="E1" s="11"/>
      <c r="F1" s="11"/>
      <c r="G1" s="11"/>
      <c r="H1" s="11"/>
      <c r="I1" s="11"/>
      <c r="J1" s="11"/>
      <c r="K1" s="14"/>
      <c r="L1" s="14"/>
      <c r="M1" s="14"/>
      <c r="N1" s="14"/>
      <c r="O1" s="14"/>
      <c r="P1" s="14"/>
      <c r="Q1" s="14"/>
      <c r="R1" s="14"/>
      <c r="S1" s="14"/>
      <c r="T1" s="14"/>
      <c r="U1" s="14"/>
      <c r="V1" s="14"/>
      <c r="W1" s="14"/>
      <c r="X1" s="14"/>
    </row>
    <row r="2">
      <c r="A2" s="11"/>
      <c r="B2" s="17"/>
      <c r="C2" s="17"/>
      <c r="D2" s="17"/>
      <c r="E2" s="11"/>
      <c r="F2" s="11"/>
      <c r="G2" s="11"/>
      <c r="H2" s="11"/>
      <c r="I2" s="11"/>
      <c r="J2" s="11"/>
      <c r="K2" s="14"/>
      <c r="L2" s="14"/>
      <c r="M2" s="14"/>
      <c r="N2" s="14"/>
      <c r="O2" s="14"/>
      <c r="P2" s="14"/>
      <c r="Q2" s="14"/>
      <c r="R2" s="14"/>
      <c r="S2" s="14"/>
      <c r="T2" s="14"/>
      <c r="U2" s="14"/>
      <c r="V2" s="14"/>
      <c r="W2" s="14"/>
      <c r="X2" s="14"/>
    </row>
    <row r="3">
      <c r="A3" s="22" t="s">
        <v>10</v>
      </c>
      <c r="B3" s="26" t="s">
        <v>13</v>
      </c>
      <c r="C3" s="27"/>
      <c r="D3" s="28"/>
      <c r="E3" s="11"/>
      <c r="F3" s="11"/>
      <c r="G3" s="11"/>
      <c r="H3" s="11"/>
      <c r="I3" s="14"/>
      <c r="J3" s="14"/>
      <c r="K3" s="14"/>
      <c r="L3" s="14"/>
      <c r="M3" s="14"/>
      <c r="N3" s="14"/>
      <c r="O3" s="14"/>
      <c r="P3" s="14"/>
      <c r="Q3" s="14"/>
      <c r="R3" s="14"/>
      <c r="S3" s="14"/>
      <c r="T3" s="14"/>
      <c r="U3" s="14"/>
      <c r="V3" s="14"/>
      <c r="W3" s="14"/>
      <c r="X3" s="14"/>
    </row>
    <row r="4">
      <c r="A4" s="22" t="s">
        <v>19</v>
      </c>
      <c r="B4" s="33" t="s">
        <v>783</v>
      </c>
      <c r="C4" s="27"/>
      <c r="D4" s="28"/>
      <c r="E4" s="11"/>
      <c r="F4" s="11"/>
      <c r="G4" s="11"/>
      <c r="H4" s="11"/>
      <c r="I4" s="14"/>
      <c r="J4" s="14"/>
      <c r="K4" s="14"/>
      <c r="L4" s="14"/>
      <c r="M4" s="14"/>
      <c r="N4" s="14"/>
      <c r="O4" s="14"/>
      <c r="P4" s="14"/>
      <c r="Q4" s="14"/>
      <c r="R4" s="14"/>
      <c r="S4" s="14"/>
      <c r="T4" s="14"/>
      <c r="U4" s="14"/>
      <c r="V4" s="14"/>
      <c r="W4" s="14"/>
      <c r="X4" s="14"/>
    </row>
    <row r="5">
      <c r="A5" s="22" t="s">
        <v>23</v>
      </c>
      <c r="B5" s="26" t="s">
        <v>786</v>
      </c>
      <c r="C5" s="27"/>
      <c r="D5" s="28"/>
      <c r="E5" s="11"/>
      <c r="F5" s="11"/>
      <c r="G5" s="11"/>
      <c r="H5" s="11"/>
      <c r="I5" s="14"/>
      <c r="J5" s="14"/>
      <c r="K5" s="14"/>
      <c r="L5" s="14"/>
      <c r="M5" s="14"/>
      <c r="N5" s="14"/>
      <c r="O5" s="14"/>
      <c r="P5" s="14"/>
      <c r="Q5" s="14"/>
      <c r="R5" s="14"/>
      <c r="S5" s="14"/>
      <c r="T5" s="14"/>
      <c r="U5" s="14"/>
      <c r="V5" s="14"/>
      <c r="W5" s="14"/>
      <c r="X5" s="14"/>
    </row>
    <row r="6">
      <c r="A6" s="39" t="s">
        <v>14</v>
      </c>
      <c r="B6" s="42">
        <v>4.0</v>
      </c>
      <c r="C6" s="47" t="s">
        <v>16</v>
      </c>
      <c r="D6" s="49">
        <v>0.0</v>
      </c>
      <c r="E6" s="11"/>
      <c r="F6" s="11"/>
      <c r="G6" s="11"/>
      <c r="H6" s="11"/>
      <c r="I6" s="14"/>
      <c r="J6" s="14"/>
      <c r="K6" s="14"/>
      <c r="L6" s="14"/>
      <c r="M6" s="14"/>
      <c r="N6" s="14"/>
      <c r="O6" s="14"/>
      <c r="P6" s="14"/>
      <c r="Q6" s="14"/>
      <c r="R6" s="14"/>
      <c r="S6" s="14"/>
      <c r="T6" s="14"/>
      <c r="U6" s="14"/>
      <c r="V6" s="14"/>
      <c r="W6" s="14"/>
      <c r="X6" s="14"/>
    </row>
    <row r="7">
      <c r="A7" s="39" t="s">
        <v>15</v>
      </c>
      <c r="B7" s="42">
        <v>0.0</v>
      </c>
      <c r="C7" s="52" t="s">
        <v>36</v>
      </c>
      <c r="D7" s="49">
        <v>4.0</v>
      </c>
      <c r="E7" s="11"/>
      <c r="F7" s="11"/>
      <c r="G7" s="11"/>
      <c r="H7" s="11"/>
      <c r="I7" s="14"/>
      <c r="J7" s="14"/>
      <c r="K7" s="14"/>
      <c r="L7" s="14"/>
      <c r="M7" s="14"/>
      <c r="N7" s="14"/>
      <c r="O7" s="14"/>
      <c r="P7" s="14"/>
      <c r="Q7" s="14"/>
      <c r="R7" s="14"/>
      <c r="S7" s="14"/>
      <c r="T7" s="14"/>
      <c r="U7" s="14"/>
      <c r="V7" s="14"/>
      <c r="W7" s="14"/>
      <c r="X7" s="14"/>
    </row>
    <row r="8">
      <c r="A8" s="54"/>
      <c r="B8" s="56"/>
      <c r="C8" s="56"/>
      <c r="D8" s="56"/>
      <c r="E8" s="11"/>
      <c r="F8" s="11"/>
      <c r="G8" s="11"/>
      <c r="H8" s="11"/>
      <c r="I8" s="57"/>
      <c r="J8" s="57"/>
      <c r="K8" s="14"/>
      <c r="L8" s="14"/>
      <c r="M8" s="14"/>
      <c r="N8" s="14"/>
      <c r="O8" s="14"/>
      <c r="P8" s="14"/>
      <c r="Q8" s="14"/>
      <c r="R8" s="14"/>
      <c r="S8" s="14"/>
      <c r="T8" s="14"/>
      <c r="U8" s="14"/>
      <c r="V8" s="14"/>
      <c r="W8" s="14"/>
      <c r="X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row>
    <row r="12">
      <c r="A12" s="79" t="s">
        <v>807</v>
      </c>
      <c r="B12" s="27"/>
      <c r="C12" s="27"/>
      <c r="D12" s="27"/>
      <c r="E12" s="27"/>
      <c r="F12" s="27"/>
      <c r="G12" s="27"/>
      <c r="H12" s="27"/>
      <c r="I12" s="27"/>
      <c r="J12" s="28"/>
      <c r="K12" s="14"/>
      <c r="L12" s="14"/>
      <c r="M12" s="14"/>
      <c r="N12" s="14"/>
      <c r="O12" s="14"/>
      <c r="P12" s="14"/>
      <c r="Q12" s="14"/>
      <c r="R12" s="14"/>
      <c r="S12" s="14"/>
      <c r="T12" s="14"/>
      <c r="U12" s="14"/>
      <c r="V12" s="14"/>
      <c r="W12" s="14"/>
      <c r="X12" s="14"/>
    </row>
    <row r="13" ht="91.5" customHeight="1">
      <c r="A13" s="80" t="s">
        <v>808</v>
      </c>
      <c r="B13" s="81" t="s">
        <v>809</v>
      </c>
      <c r="C13" s="82" t="s">
        <v>810</v>
      </c>
      <c r="D13" s="83" t="s">
        <v>811</v>
      </c>
      <c r="E13" s="27"/>
      <c r="F13" s="27"/>
      <c r="G13" s="85" t="s">
        <v>812</v>
      </c>
      <c r="H13" s="86">
        <v>46252.0</v>
      </c>
      <c r="I13" s="80" t="s">
        <v>14</v>
      </c>
      <c r="J13" s="82" t="s">
        <v>813</v>
      </c>
      <c r="K13" s="14"/>
      <c r="L13" s="14"/>
      <c r="M13" s="14"/>
      <c r="N13" s="14"/>
      <c r="O13" s="14"/>
      <c r="P13" s="14"/>
      <c r="Q13" s="14"/>
      <c r="R13" s="14"/>
      <c r="S13" s="14"/>
      <c r="T13" s="14"/>
      <c r="U13" s="14"/>
      <c r="V13" s="14"/>
      <c r="W13" s="14"/>
      <c r="X13" s="14"/>
    </row>
    <row r="14" ht="74.25" customHeight="1">
      <c r="A14" s="80" t="s">
        <v>814</v>
      </c>
      <c r="B14" s="81" t="s">
        <v>815</v>
      </c>
      <c r="C14" s="82" t="s">
        <v>816</v>
      </c>
      <c r="D14" s="83" t="s">
        <v>817</v>
      </c>
      <c r="E14" s="27"/>
      <c r="F14" s="27"/>
      <c r="G14" s="85" t="s">
        <v>818</v>
      </c>
      <c r="H14" s="86">
        <v>46252.0</v>
      </c>
      <c r="I14" s="80" t="s">
        <v>14</v>
      </c>
      <c r="J14" s="82" t="s">
        <v>819</v>
      </c>
      <c r="K14" s="14"/>
      <c r="L14" s="14"/>
      <c r="M14" s="14"/>
      <c r="N14" s="14"/>
      <c r="O14" s="14"/>
      <c r="P14" s="14"/>
      <c r="Q14" s="14"/>
      <c r="R14" s="14"/>
      <c r="S14" s="14"/>
      <c r="T14" s="14"/>
      <c r="U14" s="14"/>
      <c r="V14" s="14"/>
      <c r="W14" s="14"/>
      <c r="X14" s="14"/>
    </row>
    <row r="15" ht="81.75" customHeight="1">
      <c r="A15" s="80" t="s">
        <v>820</v>
      </c>
      <c r="B15" s="81" t="s">
        <v>821</v>
      </c>
      <c r="C15" s="82" t="s">
        <v>822</v>
      </c>
      <c r="D15" s="83" t="s">
        <v>823</v>
      </c>
      <c r="E15" s="27"/>
      <c r="F15" s="27"/>
      <c r="G15" s="85" t="s">
        <v>824</v>
      </c>
      <c r="H15" s="86">
        <v>46252.0</v>
      </c>
      <c r="I15" s="80" t="s">
        <v>14</v>
      </c>
      <c r="J15" s="82" t="s">
        <v>819</v>
      </c>
      <c r="K15" s="14"/>
      <c r="L15" s="14"/>
      <c r="M15" s="14"/>
      <c r="N15" s="14"/>
      <c r="O15" s="14"/>
      <c r="P15" s="14"/>
      <c r="Q15" s="14"/>
      <c r="R15" s="14"/>
      <c r="S15" s="14"/>
      <c r="T15" s="14"/>
      <c r="U15" s="14"/>
      <c r="V15" s="14"/>
      <c r="W15" s="14"/>
      <c r="X15" s="14"/>
    </row>
    <row r="16" ht="87.0" customHeight="1">
      <c r="A16" s="80" t="s">
        <v>825</v>
      </c>
      <c r="B16" s="81" t="s">
        <v>826</v>
      </c>
      <c r="C16" s="82" t="s">
        <v>827</v>
      </c>
      <c r="D16" s="83" t="s">
        <v>311</v>
      </c>
      <c r="E16" s="27"/>
      <c r="F16" s="27"/>
      <c r="G16" s="85" t="s">
        <v>828</v>
      </c>
      <c r="H16" s="86">
        <v>46252.0</v>
      </c>
      <c r="I16" s="80" t="s">
        <v>14</v>
      </c>
      <c r="J16" s="82" t="s">
        <v>829</v>
      </c>
      <c r="K16" s="14"/>
      <c r="L16" s="14"/>
      <c r="M16" s="14"/>
      <c r="N16" s="14"/>
      <c r="O16" s="14"/>
      <c r="P16" s="14"/>
      <c r="Q16" s="14"/>
      <c r="R16" s="14"/>
      <c r="S16" s="14"/>
      <c r="T16" s="14"/>
      <c r="U16" s="14"/>
      <c r="V16" s="14"/>
      <c r="W16" s="14"/>
      <c r="X16"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row>
    <row r="25">
      <c r="A25" s="14"/>
      <c r="B25" s="14"/>
      <c r="C25" s="14"/>
      <c r="D25" s="14"/>
      <c r="E25" s="14"/>
      <c r="F25" s="14"/>
      <c r="G25" s="127"/>
      <c r="H25" s="14"/>
      <c r="I25" s="14"/>
      <c r="J25" s="14"/>
      <c r="K25" s="14"/>
      <c r="L25" s="14"/>
      <c r="M25" s="14"/>
      <c r="N25" s="14"/>
      <c r="O25" s="14"/>
      <c r="P25" s="14"/>
      <c r="Q25" s="14"/>
      <c r="R25" s="14"/>
      <c r="S25" s="14"/>
      <c r="T25" s="14"/>
      <c r="U25" s="14"/>
      <c r="V25" s="14"/>
      <c r="W25" s="14"/>
      <c r="X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A12:J12"/>
  </mergeCells>
  <hyperlinks>
    <hyperlink r:id="rId1" ref="G13"/>
    <hyperlink r:id="rId2" ref="G14"/>
    <hyperlink r:id="rId3" ref="G15"/>
    <hyperlink r:id="rId4" ref="G16"/>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8" t="s">
        <v>3</v>
      </c>
      <c r="B1" s="11"/>
      <c r="E1" s="11"/>
      <c r="F1" s="11"/>
      <c r="G1" s="11"/>
      <c r="H1" s="11"/>
      <c r="I1" s="11"/>
      <c r="J1" s="11"/>
      <c r="K1" s="14"/>
      <c r="L1" s="14"/>
      <c r="M1" s="14"/>
      <c r="N1" s="14"/>
      <c r="O1" s="14"/>
      <c r="P1" s="14"/>
      <c r="Q1" s="14"/>
      <c r="R1" s="14"/>
      <c r="S1" s="14"/>
      <c r="T1" s="14"/>
      <c r="U1" s="14"/>
      <c r="V1" s="14"/>
      <c r="W1" s="14"/>
      <c r="X1" s="14"/>
    </row>
    <row r="2">
      <c r="A2" s="11"/>
      <c r="B2" s="17"/>
      <c r="C2" s="17"/>
      <c r="D2" s="17"/>
      <c r="E2" s="11"/>
      <c r="F2" s="11"/>
      <c r="G2" s="11"/>
      <c r="H2" s="11"/>
      <c r="I2" s="11"/>
      <c r="J2" s="11"/>
      <c r="K2" s="14"/>
      <c r="L2" s="14"/>
      <c r="M2" s="14"/>
      <c r="N2" s="14"/>
      <c r="O2" s="14"/>
      <c r="P2" s="14"/>
      <c r="Q2" s="14"/>
      <c r="R2" s="14"/>
      <c r="S2" s="14"/>
      <c r="T2" s="14"/>
      <c r="U2" s="14"/>
      <c r="V2" s="14"/>
      <c r="W2" s="14"/>
      <c r="X2" s="14"/>
    </row>
    <row r="3">
      <c r="A3" s="22" t="s">
        <v>10</v>
      </c>
      <c r="B3" s="26" t="s">
        <v>13</v>
      </c>
      <c r="C3" s="27"/>
      <c r="D3" s="28"/>
      <c r="E3" s="11"/>
      <c r="F3" s="11"/>
      <c r="G3" s="11"/>
      <c r="H3" s="11"/>
      <c r="I3" s="14"/>
      <c r="J3" s="14"/>
      <c r="K3" s="14"/>
      <c r="L3" s="14"/>
      <c r="M3" s="14"/>
      <c r="N3" s="14"/>
      <c r="O3" s="14"/>
      <c r="P3" s="14"/>
      <c r="Q3" s="14"/>
      <c r="R3" s="14"/>
      <c r="S3" s="14"/>
      <c r="T3" s="14"/>
      <c r="U3" s="14"/>
      <c r="V3" s="14"/>
      <c r="W3" s="14"/>
      <c r="X3" s="14"/>
    </row>
    <row r="4">
      <c r="A4" s="22" t="s">
        <v>19</v>
      </c>
      <c r="B4" s="33" t="s">
        <v>830</v>
      </c>
      <c r="C4" s="27"/>
      <c r="D4" s="28"/>
      <c r="E4" s="11"/>
      <c r="F4" s="11"/>
      <c r="G4" s="11"/>
      <c r="H4" s="11"/>
      <c r="I4" s="14"/>
      <c r="J4" s="14"/>
      <c r="K4" s="14"/>
      <c r="L4" s="14"/>
      <c r="M4" s="14"/>
      <c r="N4" s="14"/>
      <c r="O4" s="14"/>
      <c r="P4" s="14"/>
      <c r="Q4" s="14"/>
      <c r="R4" s="14"/>
      <c r="S4" s="14"/>
      <c r="T4" s="14"/>
      <c r="U4" s="14"/>
      <c r="V4" s="14"/>
      <c r="W4" s="14"/>
      <c r="X4" s="14"/>
    </row>
    <row r="5">
      <c r="A5" s="22" t="s">
        <v>23</v>
      </c>
      <c r="B5" s="26" t="s">
        <v>831</v>
      </c>
      <c r="C5" s="27"/>
      <c r="D5" s="28"/>
      <c r="E5" s="11"/>
      <c r="F5" s="11"/>
      <c r="G5" s="11"/>
      <c r="H5" s="11"/>
      <c r="I5" s="14"/>
      <c r="J5" s="14"/>
      <c r="K5" s="14"/>
      <c r="L5" s="14"/>
      <c r="M5" s="14"/>
      <c r="N5" s="14"/>
      <c r="O5" s="14"/>
      <c r="P5" s="14"/>
      <c r="Q5" s="14"/>
      <c r="R5" s="14"/>
      <c r="S5" s="14"/>
      <c r="T5" s="14"/>
      <c r="U5" s="14"/>
      <c r="V5" s="14"/>
      <c r="W5" s="14"/>
      <c r="X5" s="14"/>
    </row>
    <row r="6">
      <c r="A6" s="39" t="s">
        <v>14</v>
      </c>
      <c r="B6" s="42">
        <v>5.0</v>
      </c>
      <c r="C6" s="47" t="s">
        <v>16</v>
      </c>
      <c r="D6" s="49">
        <v>0.0</v>
      </c>
      <c r="E6" s="11"/>
      <c r="F6" s="11"/>
      <c r="G6" s="11"/>
      <c r="H6" s="11"/>
      <c r="I6" s="14"/>
      <c r="J6" s="14"/>
      <c r="K6" s="14"/>
      <c r="L6" s="14"/>
      <c r="M6" s="14"/>
      <c r="N6" s="14"/>
      <c r="O6" s="14"/>
      <c r="P6" s="14"/>
      <c r="Q6" s="14"/>
      <c r="R6" s="14"/>
      <c r="S6" s="14"/>
      <c r="T6" s="14"/>
      <c r="U6" s="14"/>
      <c r="V6" s="14"/>
      <c r="W6" s="14"/>
      <c r="X6" s="14"/>
    </row>
    <row r="7">
      <c r="A7" s="39" t="s">
        <v>15</v>
      </c>
      <c r="B7" s="42">
        <v>0.0</v>
      </c>
      <c r="C7" s="52" t="s">
        <v>36</v>
      </c>
      <c r="D7" s="49">
        <v>5.0</v>
      </c>
      <c r="E7" s="11"/>
      <c r="F7" s="11"/>
      <c r="G7" s="11"/>
      <c r="H7" s="11"/>
      <c r="I7" s="14"/>
      <c r="J7" s="14"/>
      <c r="K7" s="14"/>
      <c r="L7" s="14"/>
      <c r="M7" s="14"/>
      <c r="N7" s="14"/>
      <c r="O7" s="14"/>
      <c r="P7" s="14"/>
      <c r="Q7" s="14"/>
      <c r="R7" s="14"/>
      <c r="S7" s="14"/>
      <c r="T7" s="14"/>
      <c r="U7" s="14"/>
      <c r="V7" s="14"/>
      <c r="W7" s="14"/>
      <c r="X7" s="14"/>
    </row>
    <row r="8">
      <c r="A8" s="54"/>
      <c r="B8" s="56"/>
      <c r="C8" s="56"/>
      <c r="D8" s="56"/>
      <c r="E8" s="11"/>
      <c r="F8" s="11"/>
      <c r="G8" s="11"/>
      <c r="H8" s="11"/>
      <c r="I8" s="57"/>
      <c r="J8" s="57"/>
      <c r="K8" s="14"/>
      <c r="L8" s="14"/>
      <c r="M8" s="14"/>
      <c r="N8" s="14"/>
      <c r="O8" s="14"/>
      <c r="P8" s="14"/>
      <c r="Q8" s="14"/>
      <c r="R8" s="14"/>
      <c r="S8" s="14"/>
      <c r="T8" s="14"/>
      <c r="U8" s="14"/>
      <c r="V8" s="14"/>
      <c r="W8" s="14"/>
      <c r="X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row>
    <row r="12" ht="97.5" customHeight="1">
      <c r="A12" s="80" t="s">
        <v>832</v>
      </c>
      <c r="B12" s="81" t="s">
        <v>833</v>
      </c>
      <c r="C12" s="82" t="s">
        <v>834</v>
      </c>
      <c r="D12" s="83" t="s">
        <v>835</v>
      </c>
      <c r="E12" s="27"/>
      <c r="F12" s="27"/>
      <c r="G12" s="85" t="s">
        <v>836</v>
      </c>
      <c r="H12" s="86">
        <v>46252.0</v>
      </c>
      <c r="I12" s="80" t="s">
        <v>14</v>
      </c>
      <c r="J12" s="82" t="s">
        <v>837</v>
      </c>
      <c r="K12" s="14"/>
      <c r="L12" s="14"/>
      <c r="M12" s="14"/>
      <c r="N12" s="14"/>
      <c r="O12" s="14"/>
      <c r="P12" s="14"/>
      <c r="Q12" s="14"/>
      <c r="R12" s="14"/>
      <c r="S12" s="14"/>
      <c r="T12" s="14"/>
      <c r="U12" s="14"/>
      <c r="V12" s="14"/>
      <c r="W12" s="14"/>
      <c r="X12" s="14"/>
    </row>
    <row r="13" ht="104.25" customHeight="1">
      <c r="A13" s="80" t="s">
        <v>838</v>
      </c>
      <c r="B13" s="81" t="s">
        <v>839</v>
      </c>
      <c r="C13" s="82" t="s">
        <v>840</v>
      </c>
      <c r="D13" s="83" t="s">
        <v>841</v>
      </c>
      <c r="E13" s="27"/>
      <c r="F13" s="27"/>
      <c r="G13" s="85" t="s">
        <v>842</v>
      </c>
      <c r="H13" s="86">
        <v>46252.0</v>
      </c>
      <c r="I13" s="80" t="s">
        <v>14</v>
      </c>
      <c r="J13" s="82" t="s">
        <v>843</v>
      </c>
      <c r="K13" s="14"/>
      <c r="L13" s="14"/>
      <c r="M13" s="14"/>
      <c r="N13" s="14"/>
      <c r="O13" s="14"/>
      <c r="P13" s="14"/>
      <c r="Q13" s="14"/>
      <c r="R13" s="14"/>
      <c r="S13" s="14"/>
      <c r="T13" s="14"/>
      <c r="U13" s="14"/>
      <c r="V13" s="14"/>
      <c r="W13" s="14"/>
      <c r="X13" s="14"/>
    </row>
    <row r="14" ht="144.0" customHeight="1">
      <c r="A14" s="80" t="s">
        <v>844</v>
      </c>
      <c r="B14" s="81" t="s">
        <v>845</v>
      </c>
      <c r="C14" s="82" t="s">
        <v>846</v>
      </c>
      <c r="D14" s="83" t="s">
        <v>847</v>
      </c>
      <c r="E14" s="27"/>
      <c r="F14" s="27"/>
      <c r="G14" s="85" t="s">
        <v>848</v>
      </c>
      <c r="H14" s="86">
        <v>46252.0</v>
      </c>
      <c r="I14" s="80" t="s">
        <v>14</v>
      </c>
      <c r="J14" s="82" t="s">
        <v>849</v>
      </c>
      <c r="K14" s="14"/>
      <c r="L14" s="14"/>
      <c r="M14" s="14"/>
      <c r="N14" s="14"/>
      <c r="O14" s="14"/>
      <c r="P14" s="14"/>
      <c r="Q14" s="14"/>
      <c r="R14" s="14"/>
      <c r="S14" s="14"/>
      <c r="T14" s="14"/>
      <c r="U14" s="14"/>
      <c r="V14" s="14"/>
      <c r="W14" s="14"/>
      <c r="X14" s="14"/>
    </row>
    <row r="15" ht="141.75" customHeight="1">
      <c r="A15" s="80" t="s">
        <v>850</v>
      </c>
      <c r="B15" s="81" t="s">
        <v>851</v>
      </c>
      <c r="C15" s="82" t="s">
        <v>852</v>
      </c>
      <c r="D15" s="83" t="s">
        <v>853</v>
      </c>
      <c r="E15" s="27"/>
      <c r="F15" s="27"/>
      <c r="G15" s="85" t="s">
        <v>854</v>
      </c>
      <c r="H15" s="86">
        <v>46252.0</v>
      </c>
      <c r="I15" s="80" t="s">
        <v>14</v>
      </c>
      <c r="J15" s="82" t="s">
        <v>855</v>
      </c>
      <c r="K15" s="14"/>
      <c r="L15" s="14"/>
      <c r="M15" s="14"/>
      <c r="N15" s="14"/>
      <c r="O15" s="14"/>
      <c r="P15" s="14"/>
      <c r="Q15" s="14"/>
      <c r="R15" s="14"/>
      <c r="S15" s="14"/>
      <c r="T15" s="14"/>
      <c r="U15" s="14"/>
      <c r="V15" s="14"/>
      <c r="W15" s="14"/>
      <c r="X15" s="14"/>
    </row>
    <row r="16" ht="157.5" customHeight="1">
      <c r="A16" s="80" t="s">
        <v>856</v>
      </c>
      <c r="B16" s="81" t="s">
        <v>857</v>
      </c>
      <c r="C16" s="82" t="s">
        <v>858</v>
      </c>
      <c r="D16" s="83" t="s">
        <v>859</v>
      </c>
      <c r="E16" s="27"/>
      <c r="F16" s="27"/>
      <c r="G16" s="85" t="s">
        <v>860</v>
      </c>
      <c r="H16" s="86">
        <v>46252.0</v>
      </c>
      <c r="I16" s="80" t="s">
        <v>14</v>
      </c>
      <c r="J16" s="82" t="s">
        <v>861</v>
      </c>
      <c r="K16" s="14"/>
      <c r="L16" s="14"/>
      <c r="M16" s="14"/>
      <c r="N16" s="14"/>
      <c r="O16" s="14"/>
      <c r="P16" s="14"/>
      <c r="Q16" s="14"/>
      <c r="R16" s="14"/>
      <c r="S16" s="14"/>
      <c r="T16" s="14"/>
      <c r="U16" s="14"/>
      <c r="V16" s="14"/>
      <c r="W16" s="14"/>
      <c r="X16" s="14"/>
    </row>
    <row r="17">
      <c r="A17" s="14"/>
      <c r="B17" s="14"/>
      <c r="C17" s="14"/>
      <c r="D17" s="14"/>
      <c r="E17" s="14"/>
      <c r="F17" s="14"/>
      <c r="G17" s="14"/>
      <c r="H17" s="14"/>
      <c r="I17" s="14"/>
      <c r="J17" s="14"/>
      <c r="K17" s="14"/>
      <c r="L17" s="14"/>
      <c r="M17" s="14"/>
      <c r="N17" s="14"/>
      <c r="O17" s="14"/>
      <c r="P17" s="14"/>
      <c r="Q17" s="14"/>
      <c r="R17" s="14"/>
      <c r="S17" s="14"/>
      <c r="T17" s="14"/>
      <c r="U17" s="14"/>
      <c r="V17" s="14"/>
      <c r="W17" s="14"/>
      <c r="X17"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row>
    <row r="27">
      <c r="A27" s="14"/>
      <c r="B27" s="14"/>
      <c r="C27" s="14"/>
      <c r="D27" s="14"/>
      <c r="E27" s="14"/>
      <c r="F27" s="14"/>
      <c r="G27" s="127"/>
      <c r="H27" s="14"/>
      <c r="I27" s="14"/>
      <c r="J27" s="14"/>
      <c r="K27" s="14"/>
      <c r="L27" s="14"/>
      <c r="M27" s="14"/>
      <c r="N27" s="14"/>
      <c r="O27" s="14"/>
      <c r="P27" s="14"/>
      <c r="Q27" s="14"/>
      <c r="R27" s="14"/>
      <c r="S27" s="14"/>
      <c r="T27" s="14"/>
      <c r="U27" s="14"/>
      <c r="V27" s="14"/>
      <c r="W27" s="14"/>
      <c r="X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D12:F12"/>
  </mergeCells>
  <hyperlinks>
    <hyperlink r:id="rId1" ref="G12"/>
    <hyperlink r:id="rId2" ref="G13"/>
    <hyperlink r:id="rId3" ref="G14"/>
    <hyperlink r:id="rId4" ref="G15"/>
    <hyperlink r:id="rId5" ref="G16"/>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8" t="s">
        <v>3</v>
      </c>
      <c r="B1" s="11"/>
      <c r="E1" s="11"/>
      <c r="F1" s="11"/>
      <c r="G1" s="11"/>
      <c r="H1" s="11"/>
      <c r="I1" s="11"/>
      <c r="J1" s="11"/>
      <c r="K1" s="14"/>
      <c r="L1" s="14"/>
      <c r="M1" s="14"/>
      <c r="N1" s="14"/>
      <c r="O1" s="14"/>
      <c r="P1" s="14"/>
      <c r="Q1" s="14"/>
      <c r="R1" s="14"/>
      <c r="S1" s="14"/>
      <c r="T1" s="14"/>
      <c r="U1" s="14"/>
      <c r="V1" s="14"/>
      <c r="W1" s="14"/>
      <c r="X1" s="14"/>
    </row>
    <row r="2">
      <c r="A2" s="11"/>
      <c r="B2" s="17"/>
      <c r="C2" s="17"/>
      <c r="D2" s="17"/>
      <c r="E2" s="11"/>
      <c r="F2" s="11"/>
      <c r="G2" s="11"/>
      <c r="H2" s="11"/>
      <c r="I2" s="11"/>
      <c r="J2" s="11"/>
      <c r="K2" s="14"/>
      <c r="L2" s="14"/>
      <c r="M2" s="14"/>
      <c r="N2" s="14"/>
      <c r="O2" s="14"/>
      <c r="P2" s="14"/>
      <c r="Q2" s="14"/>
      <c r="R2" s="14"/>
      <c r="S2" s="14"/>
      <c r="T2" s="14"/>
      <c r="U2" s="14"/>
      <c r="V2" s="14"/>
      <c r="W2" s="14"/>
      <c r="X2" s="14"/>
    </row>
    <row r="3">
      <c r="A3" s="22" t="s">
        <v>10</v>
      </c>
      <c r="B3" s="26" t="s">
        <v>13</v>
      </c>
      <c r="C3" s="27"/>
      <c r="D3" s="28"/>
      <c r="E3" s="11"/>
      <c r="F3" s="11"/>
      <c r="G3" s="11"/>
      <c r="H3" s="11"/>
      <c r="I3" s="14"/>
      <c r="J3" s="14"/>
      <c r="K3" s="14"/>
      <c r="L3" s="14"/>
      <c r="M3" s="14"/>
      <c r="N3" s="14"/>
      <c r="O3" s="14"/>
      <c r="P3" s="14"/>
      <c r="Q3" s="14"/>
      <c r="R3" s="14"/>
      <c r="S3" s="14"/>
      <c r="T3" s="14"/>
      <c r="U3" s="14"/>
      <c r="V3" s="14"/>
      <c r="W3" s="14"/>
      <c r="X3" s="14"/>
    </row>
    <row r="4">
      <c r="A4" s="22" t="s">
        <v>19</v>
      </c>
      <c r="B4" s="33" t="s">
        <v>862</v>
      </c>
      <c r="C4" s="27"/>
      <c r="D4" s="28"/>
      <c r="E4" s="11"/>
      <c r="F4" s="11"/>
      <c r="G4" s="11"/>
      <c r="H4" s="11"/>
      <c r="I4" s="14"/>
      <c r="J4" s="14"/>
      <c r="K4" s="14"/>
      <c r="L4" s="14"/>
      <c r="M4" s="14"/>
      <c r="N4" s="14"/>
      <c r="O4" s="14"/>
      <c r="P4" s="14"/>
      <c r="Q4" s="14"/>
      <c r="R4" s="14"/>
      <c r="S4" s="14"/>
      <c r="T4" s="14"/>
      <c r="U4" s="14"/>
      <c r="V4" s="14"/>
      <c r="W4" s="14"/>
      <c r="X4" s="14"/>
    </row>
    <row r="5">
      <c r="A5" s="22" t="s">
        <v>23</v>
      </c>
      <c r="B5" s="26" t="s">
        <v>863</v>
      </c>
      <c r="C5" s="27"/>
      <c r="D5" s="28"/>
      <c r="E5" s="11"/>
      <c r="F5" s="11"/>
      <c r="G5" s="11"/>
      <c r="H5" s="11"/>
      <c r="I5" s="14"/>
      <c r="J5" s="14"/>
      <c r="K5" s="14"/>
      <c r="L5" s="14"/>
      <c r="M5" s="14"/>
      <c r="N5" s="14"/>
      <c r="O5" s="14"/>
      <c r="P5" s="14"/>
      <c r="Q5" s="14"/>
      <c r="R5" s="14"/>
      <c r="S5" s="14"/>
      <c r="T5" s="14"/>
      <c r="U5" s="14"/>
      <c r="V5" s="14"/>
      <c r="W5" s="14"/>
      <c r="X5" s="14"/>
    </row>
    <row r="6">
      <c r="A6" s="39" t="s">
        <v>14</v>
      </c>
      <c r="B6" s="42">
        <v>10.0</v>
      </c>
      <c r="C6" s="47" t="s">
        <v>16</v>
      </c>
      <c r="D6" s="49">
        <v>0.0</v>
      </c>
      <c r="E6" s="11"/>
      <c r="F6" s="11"/>
      <c r="G6" s="11"/>
      <c r="H6" s="11"/>
      <c r="I6" s="14"/>
      <c r="J6" s="14"/>
      <c r="K6" s="14"/>
      <c r="L6" s="14"/>
      <c r="M6" s="14"/>
      <c r="N6" s="14"/>
      <c r="O6" s="14"/>
      <c r="P6" s="14"/>
      <c r="Q6" s="14"/>
      <c r="R6" s="14"/>
      <c r="S6" s="14"/>
      <c r="T6" s="14"/>
      <c r="U6" s="14"/>
      <c r="V6" s="14"/>
      <c r="W6" s="14"/>
      <c r="X6" s="14"/>
    </row>
    <row r="7">
      <c r="A7" s="39" t="s">
        <v>15</v>
      </c>
      <c r="B7" s="42">
        <v>1.0</v>
      </c>
      <c r="C7" s="52" t="s">
        <v>36</v>
      </c>
      <c r="D7" s="49">
        <v>11.0</v>
      </c>
      <c r="E7" s="11"/>
      <c r="F7" s="11"/>
      <c r="G7" s="11"/>
      <c r="H7" s="11"/>
      <c r="I7" s="14"/>
      <c r="J7" s="14"/>
      <c r="K7" s="14"/>
      <c r="L7" s="14"/>
      <c r="M7" s="14"/>
      <c r="N7" s="14"/>
      <c r="O7" s="14"/>
      <c r="P7" s="14"/>
      <c r="Q7" s="14"/>
      <c r="R7" s="14"/>
      <c r="S7" s="14"/>
      <c r="T7" s="14"/>
      <c r="U7" s="14"/>
      <c r="V7" s="14"/>
      <c r="W7" s="14"/>
      <c r="X7" s="14"/>
    </row>
    <row r="8">
      <c r="A8" s="54"/>
      <c r="B8" s="56"/>
      <c r="C8" s="56"/>
      <c r="D8" s="56"/>
      <c r="E8" s="11"/>
      <c r="F8" s="11"/>
      <c r="G8" s="11"/>
      <c r="H8" s="11"/>
      <c r="I8" s="57"/>
      <c r="J8" s="57"/>
      <c r="K8" s="14"/>
      <c r="L8" s="14"/>
      <c r="M8" s="14"/>
      <c r="N8" s="14"/>
      <c r="O8" s="14"/>
      <c r="P8" s="14"/>
      <c r="Q8" s="14"/>
      <c r="R8" s="14"/>
      <c r="S8" s="14"/>
      <c r="T8" s="14"/>
      <c r="U8" s="14"/>
      <c r="V8" s="14"/>
      <c r="W8" s="14"/>
      <c r="X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row>
    <row r="12">
      <c r="A12" s="79" t="s">
        <v>864</v>
      </c>
      <c r="B12" s="27"/>
      <c r="C12" s="27"/>
      <c r="D12" s="27"/>
      <c r="E12" s="27"/>
      <c r="F12" s="27"/>
      <c r="G12" s="27"/>
      <c r="H12" s="27"/>
      <c r="I12" s="27"/>
      <c r="J12" s="28"/>
      <c r="K12" s="14"/>
      <c r="L12" s="14"/>
      <c r="M12" s="14"/>
      <c r="N12" s="14"/>
      <c r="O12" s="14"/>
      <c r="P12" s="14"/>
      <c r="Q12" s="14"/>
      <c r="R12" s="14"/>
      <c r="S12" s="14"/>
      <c r="T12" s="14"/>
      <c r="U12" s="14"/>
      <c r="V12" s="14"/>
      <c r="W12" s="14"/>
      <c r="X12" s="14"/>
    </row>
    <row r="13" ht="161.25" customHeight="1">
      <c r="A13" s="80" t="s">
        <v>865</v>
      </c>
      <c r="B13" s="81" t="s">
        <v>866</v>
      </c>
      <c r="C13" s="82" t="s">
        <v>867</v>
      </c>
      <c r="D13" s="83" t="s">
        <v>868</v>
      </c>
      <c r="E13" s="27"/>
      <c r="F13" s="27"/>
      <c r="G13" s="85" t="s">
        <v>869</v>
      </c>
      <c r="H13" s="86">
        <v>46255.0</v>
      </c>
      <c r="I13" s="80" t="s">
        <v>14</v>
      </c>
      <c r="J13" s="82" t="s">
        <v>870</v>
      </c>
      <c r="K13" s="14"/>
      <c r="L13" s="14"/>
      <c r="M13" s="14"/>
      <c r="N13" s="14"/>
      <c r="O13" s="14"/>
      <c r="P13" s="14"/>
      <c r="Q13" s="14"/>
      <c r="R13" s="14"/>
      <c r="S13" s="14"/>
      <c r="T13" s="14"/>
      <c r="U13" s="14"/>
      <c r="V13" s="14"/>
      <c r="W13" s="14"/>
      <c r="X13" s="14"/>
    </row>
    <row r="14" ht="15.0" customHeight="1">
      <c r="A14" s="79" t="s">
        <v>871</v>
      </c>
      <c r="B14" s="27"/>
      <c r="C14" s="27"/>
      <c r="D14" s="27"/>
      <c r="E14" s="27"/>
      <c r="F14" s="27"/>
      <c r="G14" s="27"/>
      <c r="H14" s="27"/>
      <c r="I14" s="27"/>
      <c r="J14" s="28"/>
      <c r="K14" s="14"/>
      <c r="L14" s="14"/>
      <c r="M14" s="14"/>
      <c r="N14" s="14"/>
      <c r="O14" s="14"/>
      <c r="P14" s="14"/>
      <c r="Q14" s="14"/>
      <c r="R14" s="14"/>
      <c r="S14" s="14"/>
      <c r="T14" s="14"/>
      <c r="U14" s="14"/>
      <c r="V14" s="14"/>
      <c r="W14" s="14"/>
      <c r="X14" s="14"/>
    </row>
    <row r="15" ht="141.75" customHeight="1">
      <c r="A15" s="80" t="s">
        <v>872</v>
      </c>
      <c r="B15" s="81" t="s">
        <v>873</v>
      </c>
      <c r="C15" s="82" t="s">
        <v>874</v>
      </c>
      <c r="D15" s="83" t="s">
        <v>875</v>
      </c>
      <c r="E15" s="27"/>
      <c r="F15" s="27"/>
      <c r="G15" s="85" t="s">
        <v>876</v>
      </c>
      <c r="H15" s="86">
        <v>46255.0</v>
      </c>
      <c r="I15" s="80" t="s">
        <v>14</v>
      </c>
      <c r="J15" s="82" t="s">
        <v>877</v>
      </c>
      <c r="K15" s="14"/>
      <c r="L15" s="14"/>
      <c r="M15" s="14"/>
      <c r="N15" s="14"/>
      <c r="O15" s="14"/>
      <c r="P15" s="14"/>
      <c r="Q15" s="14"/>
      <c r="R15" s="14"/>
      <c r="S15" s="14"/>
      <c r="T15" s="14"/>
      <c r="U15" s="14"/>
      <c r="V15" s="14"/>
      <c r="W15" s="14"/>
      <c r="X15" s="14"/>
    </row>
    <row r="16">
      <c r="A16" s="79" t="s">
        <v>878</v>
      </c>
      <c r="B16" s="27"/>
      <c r="C16" s="27"/>
      <c r="D16" s="27"/>
      <c r="E16" s="27"/>
      <c r="F16" s="27"/>
      <c r="G16" s="27"/>
      <c r="H16" s="27"/>
      <c r="I16" s="27"/>
      <c r="J16" s="28"/>
      <c r="K16" s="14"/>
      <c r="L16" s="14"/>
      <c r="M16" s="14"/>
      <c r="N16" s="14"/>
      <c r="O16" s="14"/>
      <c r="P16" s="14"/>
      <c r="Q16" s="14"/>
      <c r="R16" s="14"/>
      <c r="S16" s="14"/>
      <c r="T16" s="14"/>
      <c r="U16" s="14"/>
      <c r="V16" s="14"/>
      <c r="W16" s="14"/>
      <c r="X16" s="14"/>
    </row>
    <row r="17" ht="177.0" customHeight="1">
      <c r="A17" s="80" t="s">
        <v>879</v>
      </c>
      <c r="B17" s="81" t="s">
        <v>880</v>
      </c>
      <c r="C17" s="82" t="s">
        <v>881</v>
      </c>
      <c r="D17" s="83" t="s">
        <v>882</v>
      </c>
      <c r="E17" s="27"/>
      <c r="F17" s="27"/>
      <c r="G17" s="85" t="s">
        <v>883</v>
      </c>
      <c r="H17" s="86">
        <v>46255.0</v>
      </c>
      <c r="I17" s="80" t="s">
        <v>14</v>
      </c>
      <c r="J17" s="82" t="s">
        <v>884</v>
      </c>
      <c r="K17" s="14"/>
      <c r="L17" s="14"/>
      <c r="M17" s="14"/>
      <c r="N17" s="14"/>
      <c r="O17" s="14"/>
      <c r="P17" s="14"/>
      <c r="Q17" s="14"/>
      <c r="R17" s="14"/>
      <c r="S17" s="14"/>
      <c r="T17" s="14"/>
      <c r="U17" s="14"/>
      <c r="V17" s="14"/>
      <c r="W17" s="14"/>
      <c r="X17" s="14"/>
    </row>
    <row r="18">
      <c r="A18" s="79" t="s">
        <v>885</v>
      </c>
      <c r="B18" s="27"/>
      <c r="C18" s="27"/>
      <c r="D18" s="27"/>
      <c r="E18" s="27"/>
      <c r="F18" s="27"/>
      <c r="G18" s="27"/>
      <c r="H18" s="27"/>
      <c r="I18" s="27"/>
      <c r="J18" s="28"/>
      <c r="K18" s="14"/>
      <c r="L18" s="14"/>
      <c r="M18" s="14"/>
      <c r="N18" s="14"/>
      <c r="O18" s="14"/>
      <c r="P18" s="14"/>
      <c r="Q18" s="14"/>
      <c r="R18" s="14"/>
      <c r="S18" s="14"/>
      <c r="T18" s="14"/>
      <c r="U18" s="14"/>
      <c r="V18" s="14"/>
      <c r="W18" s="14"/>
      <c r="X18" s="14"/>
    </row>
    <row r="19" ht="141.75" customHeight="1">
      <c r="A19" s="80" t="s">
        <v>886</v>
      </c>
      <c r="B19" s="81" t="s">
        <v>887</v>
      </c>
      <c r="C19" s="82" t="s">
        <v>888</v>
      </c>
      <c r="D19" s="83" t="s">
        <v>889</v>
      </c>
      <c r="E19" s="27"/>
      <c r="F19" s="27"/>
      <c r="G19" s="85" t="s">
        <v>890</v>
      </c>
      <c r="H19" s="86">
        <v>46255.0</v>
      </c>
      <c r="I19" s="80" t="s">
        <v>14</v>
      </c>
      <c r="J19" s="82" t="s">
        <v>819</v>
      </c>
      <c r="K19" s="14"/>
      <c r="L19" s="14"/>
      <c r="M19" s="14"/>
      <c r="N19" s="14"/>
      <c r="O19" s="14"/>
      <c r="P19" s="14"/>
      <c r="Q19" s="14"/>
      <c r="R19" s="14"/>
      <c r="S19" s="14"/>
      <c r="T19" s="14"/>
      <c r="U19" s="14"/>
      <c r="V19" s="14"/>
      <c r="W19" s="14"/>
      <c r="X19" s="14"/>
    </row>
    <row r="20" ht="192.75" customHeight="1">
      <c r="A20" s="80" t="s">
        <v>891</v>
      </c>
      <c r="B20" s="81" t="s">
        <v>892</v>
      </c>
      <c r="C20" s="82" t="s">
        <v>893</v>
      </c>
      <c r="D20" s="83" t="s">
        <v>894</v>
      </c>
      <c r="E20" s="27"/>
      <c r="F20" s="27"/>
      <c r="G20" s="85" t="s">
        <v>895</v>
      </c>
      <c r="H20" s="86">
        <v>46255.0</v>
      </c>
      <c r="I20" s="80" t="s">
        <v>14</v>
      </c>
      <c r="J20" s="82" t="s">
        <v>819</v>
      </c>
      <c r="K20" s="14"/>
      <c r="L20" s="14"/>
      <c r="M20" s="14"/>
      <c r="N20" s="14"/>
      <c r="O20" s="14"/>
      <c r="P20" s="14"/>
      <c r="Q20" s="14"/>
      <c r="R20" s="14"/>
      <c r="S20" s="14"/>
      <c r="T20" s="14"/>
      <c r="U20" s="14"/>
      <c r="V20" s="14"/>
      <c r="W20" s="14"/>
      <c r="X20" s="14"/>
    </row>
    <row r="21" ht="192.75" customHeight="1">
      <c r="A21" s="80" t="s">
        <v>896</v>
      </c>
      <c r="B21" s="81" t="s">
        <v>897</v>
      </c>
      <c r="C21" s="82" t="s">
        <v>898</v>
      </c>
      <c r="D21" s="83" t="s">
        <v>899</v>
      </c>
      <c r="E21" s="27"/>
      <c r="F21" s="27"/>
      <c r="G21" s="85" t="s">
        <v>900</v>
      </c>
      <c r="H21" s="86">
        <v>46255.0</v>
      </c>
      <c r="I21" s="80" t="s">
        <v>14</v>
      </c>
      <c r="J21" s="82" t="s">
        <v>819</v>
      </c>
      <c r="K21" s="14"/>
      <c r="L21" s="14"/>
      <c r="M21" s="14"/>
      <c r="N21" s="14"/>
      <c r="O21" s="14"/>
      <c r="P21" s="14"/>
      <c r="Q21" s="14"/>
      <c r="R21" s="14"/>
      <c r="S21" s="14"/>
      <c r="T21" s="14"/>
      <c r="U21" s="14"/>
      <c r="V21" s="14"/>
      <c r="W21" s="14"/>
      <c r="X21" s="14"/>
    </row>
    <row r="22" ht="14.25" customHeight="1">
      <c r="A22" s="79" t="s">
        <v>901</v>
      </c>
      <c r="B22" s="27"/>
      <c r="C22" s="27"/>
      <c r="D22" s="27"/>
      <c r="E22" s="27"/>
      <c r="F22" s="27"/>
      <c r="G22" s="27"/>
      <c r="H22" s="27"/>
      <c r="I22" s="27"/>
      <c r="J22" s="28"/>
      <c r="K22" s="14"/>
      <c r="L22" s="14"/>
      <c r="M22" s="14"/>
      <c r="N22" s="14"/>
      <c r="O22" s="14"/>
      <c r="P22" s="14"/>
      <c r="Q22" s="14"/>
      <c r="R22" s="14"/>
      <c r="S22" s="14"/>
      <c r="T22" s="14"/>
      <c r="U22" s="14"/>
      <c r="V22" s="14"/>
      <c r="W22" s="14"/>
      <c r="X22" s="14"/>
    </row>
    <row r="23" ht="175.5" customHeight="1">
      <c r="A23" s="80" t="s">
        <v>902</v>
      </c>
      <c r="B23" s="81" t="s">
        <v>903</v>
      </c>
      <c r="C23" s="82" t="s">
        <v>904</v>
      </c>
      <c r="D23" s="83" t="s">
        <v>905</v>
      </c>
      <c r="E23" s="27"/>
      <c r="F23" s="27"/>
      <c r="G23" s="85" t="s">
        <v>906</v>
      </c>
      <c r="H23" s="86">
        <v>46255.0</v>
      </c>
      <c r="I23" s="80" t="s">
        <v>14</v>
      </c>
      <c r="J23" s="82" t="s">
        <v>907</v>
      </c>
      <c r="K23" s="14"/>
      <c r="L23" s="14"/>
      <c r="M23" s="14"/>
      <c r="N23" s="14"/>
      <c r="O23" s="14"/>
      <c r="P23" s="14"/>
      <c r="Q23" s="14"/>
      <c r="R23" s="14"/>
      <c r="S23" s="14"/>
      <c r="T23" s="14"/>
      <c r="U23" s="14"/>
      <c r="V23" s="14"/>
      <c r="W23" s="14"/>
      <c r="X23" s="14"/>
    </row>
    <row r="24">
      <c r="A24" s="80" t="s">
        <v>908</v>
      </c>
      <c r="B24" s="81" t="s">
        <v>909</v>
      </c>
      <c r="C24" s="82" t="s">
        <v>910</v>
      </c>
      <c r="D24" s="83" t="s">
        <v>911</v>
      </c>
      <c r="E24" s="27"/>
      <c r="F24" s="27"/>
      <c r="G24" s="129" t="s">
        <v>912</v>
      </c>
      <c r="H24" s="86">
        <v>46255.0</v>
      </c>
      <c r="I24" s="80" t="s">
        <v>14</v>
      </c>
      <c r="J24" s="82" t="s">
        <v>913</v>
      </c>
      <c r="K24" s="14"/>
      <c r="L24" s="14"/>
      <c r="M24" s="14"/>
      <c r="N24" s="14"/>
      <c r="O24" s="14"/>
      <c r="P24" s="14"/>
      <c r="Q24" s="14"/>
      <c r="R24" s="14"/>
      <c r="S24" s="14"/>
      <c r="T24" s="14"/>
      <c r="U24" s="14"/>
      <c r="V24" s="14"/>
      <c r="W24" s="14"/>
      <c r="X24" s="14"/>
    </row>
    <row r="25" ht="165.0" customHeight="1">
      <c r="A25" s="80" t="s">
        <v>914</v>
      </c>
      <c r="B25" s="81" t="s">
        <v>915</v>
      </c>
      <c r="C25" s="82" t="s">
        <v>916</v>
      </c>
      <c r="D25" s="83" t="s">
        <v>917</v>
      </c>
      <c r="E25" s="27"/>
      <c r="F25" s="27"/>
      <c r="G25" s="85" t="s">
        <v>918</v>
      </c>
      <c r="H25" s="86">
        <v>46255.0</v>
      </c>
      <c r="I25" s="80" t="s">
        <v>14</v>
      </c>
      <c r="J25" s="82" t="s">
        <v>919</v>
      </c>
      <c r="K25" s="14"/>
      <c r="L25" s="14"/>
      <c r="M25" s="14"/>
      <c r="N25" s="14"/>
      <c r="O25" s="14"/>
      <c r="P25" s="14"/>
      <c r="Q25" s="14"/>
      <c r="R25" s="14"/>
      <c r="S25" s="14"/>
      <c r="T25" s="14"/>
      <c r="U25" s="14"/>
      <c r="V25" s="14"/>
      <c r="W25" s="14"/>
      <c r="X25" s="14"/>
    </row>
    <row r="26" ht="165.0" customHeight="1">
      <c r="A26" s="80" t="s">
        <v>920</v>
      </c>
      <c r="B26" s="81" t="s">
        <v>921</v>
      </c>
      <c r="C26" s="82" t="s">
        <v>922</v>
      </c>
      <c r="D26" s="83" t="s">
        <v>923</v>
      </c>
      <c r="E26" s="27"/>
      <c r="F26" s="27"/>
      <c r="G26" s="85" t="s">
        <v>924</v>
      </c>
      <c r="H26" s="86">
        <v>46255.0</v>
      </c>
      <c r="I26" s="80" t="s">
        <v>15</v>
      </c>
      <c r="J26" s="82" t="s">
        <v>925</v>
      </c>
      <c r="K26" s="14"/>
      <c r="L26" s="14"/>
      <c r="M26" s="14"/>
      <c r="N26" s="14"/>
      <c r="O26" s="14"/>
      <c r="P26" s="14"/>
      <c r="Q26" s="14"/>
      <c r="R26" s="14"/>
      <c r="S26" s="14"/>
      <c r="T26" s="14"/>
      <c r="U26" s="14"/>
      <c r="V26" s="14"/>
      <c r="W26" s="14"/>
      <c r="X26" s="14"/>
    </row>
    <row r="27">
      <c r="A27" s="79" t="s">
        <v>926</v>
      </c>
      <c r="B27" s="27"/>
      <c r="C27" s="27"/>
      <c r="D27" s="27"/>
      <c r="E27" s="27"/>
      <c r="F27" s="27"/>
      <c r="G27" s="27"/>
      <c r="H27" s="27"/>
      <c r="I27" s="27"/>
      <c r="J27" s="28"/>
      <c r="K27" s="135"/>
      <c r="X27" s="14"/>
    </row>
    <row r="28" ht="165.0" customHeight="1">
      <c r="A28" s="80" t="s">
        <v>927</v>
      </c>
      <c r="B28" s="81" t="s">
        <v>928</v>
      </c>
      <c r="C28" s="82" t="s">
        <v>929</v>
      </c>
      <c r="D28" s="83" t="s">
        <v>930</v>
      </c>
      <c r="E28" s="27"/>
      <c r="F28" s="27"/>
      <c r="G28" s="85" t="s">
        <v>931</v>
      </c>
      <c r="H28" s="86">
        <v>46255.0</v>
      </c>
      <c r="I28" s="80" t="s">
        <v>14</v>
      </c>
      <c r="J28" s="82" t="s">
        <v>932</v>
      </c>
      <c r="K28" s="14"/>
      <c r="L28" s="14"/>
      <c r="M28" s="14"/>
      <c r="N28" s="14"/>
      <c r="O28" s="14"/>
      <c r="P28" s="14"/>
      <c r="Q28" s="14"/>
      <c r="R28" s="14"/>
      <c r="S28" s="14"/>
      <c r="T28" s="14"/>
      <c r="U28" s="14"/>
      <c r="V28" s="14"/>
      <c r="W28" s="14"/>
      <c r="X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row>
    <row r="39">
      <c r="A39" s="14"/>
      <c r="B39" s="14"/>
      <c r="C39" s="14"/>
      <c r="D39" s="14"/>
      <c r="E39" s="14"/>
      <c r="F39" s="14"/>
      <c r="G39" s="127"/>
      <c r="H39" s="14"/>
      <c r="I39" s="14"/>
      <c r="J39" s="14"/>
      <c r="K39" s="14"/>
      <c r="L39" s="14"/>
      <c r="M39" s="14"/>
      <c r="N39" s="14"/>
      <c r="O39" s="14"/>
      <c r="P39" s="14"/>
      <c r="Q39" s="14"/>
      <c r="R39" s="14"/>
      <c r="S39" s="14"/>
      <c r="T39" s="14"/>
      <c r="U39" s="14"/>
      <c r="V39" s="14"/>
      <c r="W39" s="14"/>
      <c r="X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row>
  </sheetData>
  <mergeCells count="31">
    <mergeCell ref="B1:D2"/>
    <mergeCell ref="B3:D3"/>
    <mergeCell ref="B4:D4"/>
    <mergeCell ref="B5:D5"/>
    <mergeCell ref="A9:A10"/>
    <mergeCell ref="B9:B10"/>
    <mergeCell ref="C9:C10"/>
    <mergeCell ref="D9:F10"/>
    <mergeCell ref="G9:G10"/>
    <mergeCell ref="H9:H10"/>
    <mergeCell ref="I9:I10"/>
    <mergeCell ref="J9:J10"/>
    <mergeCell ref="B11:J11"/>
    <mergeCell ref="A12:J12"/>
    <mergeCell ref="D13:F13"/>
    <mergeCell ref="A14:J14"/>
    <mergeCell ref="D15:F15"/>
    <mergeCell ref="A16:J16"/>
    <mergeCell ref="D17:F17"/>
    <mergeCell ref="A18:J18"/>
    <mergeCell ref="D19:F19"/>
    <mergeCell ref="A27:J27"/>
    <mergeCell ref="K27:W27"/>
    <mergeCell ref="D20:F20"/>
    <mergeCell ref="D21:F21"/>
    <mergeCell ref="A22:J22"/>
    <mergeCell ref="D23:F23"/>
    <mergeCell ref="D24:F24"/>
    <mergeCell ref="D25:F25"/>
    <mergeCell ref="D26:F26"/>
    <mergeCell ref="D28:F28"/>
  </mergeCells>
  <hyperlinks>
    <hyperlink r:id="rId1" ref="G13"/>
    <hyperlink r:id="rId2" ref="G15"/>
    <hyperlink r:id="rId3" ref="G17"/>
    <hyperlink r:id="rId4" ref="G19"/>
    <hyperlink r:id="rId5" ref="G20"/>
    <hyperlink r:id="rId6" ref="G21"/>
    <hyperlink r:id="rId7" ref="G23"/>
    <hyperlink r:id="rId8" ref="G24"/>
    <hyperlink r:id="rId9" ref="G25"/>
    <hyperlink r:id="rId10" ref="G26"/>
    <hyperlink r:id="rId11" ref="G28"/>
  </hyperlinks>
  <drawing r:id="rId1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19.13"/>
    <col customWidth="1" min="3" max="3" width="50.38"/>
    <col customWidth="1" min="6" max="6" width="19.0"/>
    <col customWidth="1" min="7" max="7" width="18.88"/>
    <col customWidth="1" min="8" max="8" width="15.88"/>
    <col customWidth="1" min="9" max="9" width="15.5"/>
    <col customWidth="1" min="10" max="10" width="21.38"/>
  </cols>
  <sheetData>
    <row r="1">
      <c r="A1" s="8" t="s">
        <v>3</v>
      </c>
      <c r="B1" s="11"/>
      <c r="E1" s="11"/>
      <c r="F1" s="11"/>
      <c r="G1" s="11"/>
      <c r="H1" s="11"/>
      <c r="I1" s="11"/>
      <c r="J1" s="11"/>
      <c r="K1" s="14"/>
      <c r="L1" s="14"/>
      <c r="M1" s="14"/>
      <c r="N1" s="14"/>
      <c r="O1" s="14"/>
      <c r="P1" s="14"/>
      <c r="Q1" s="14"/>
      <c r="R1" s="14"/>
      <c r="S1" s="14"/>
      <c r="T1" s="14"/>
      <c r="U1" s="14"/>
      <c r="V1" s="14"/>
      <c r="W1" s="14"/>
      <c r="X1" s="14"/>
    </row>
    <row r="2">
      <c r="A2" s="11"/>
      <c r="B2" s="17"/>
      <c r="C2" s="17"/>
      <c r="D2" s="17"/>
      <c r="E2" s="11"/>
      <c r="F2" s="11"/>
      <c r="G2" s="11"/>
      <c r="H2" s="11"/>
      <c r="I2" s="11"/>
      <c r="J2" s="11"/>
      <c r="K2" s="14"/>
      <c r="L2" s="14"/>
      <c r="M2" s="14"/>
      <c r="N2" s="14"/>
      <c r="O2" s="14"/>
      <c r="P2" s="14"/>
      <c r="Q2" s="14"/>
      <c r="R2" s="14"/>
      <c r="S2" s="14"/>
      <c r="T2" s="14"/>
      <c r="U2" s="14"/>
      <c r="V2" s="14"/>
      <c r="W2" s="14"/>
      <c r="X2" s="14"/>
    </row>
    <row r="3">
      <c r="A3" s="22" t="s">
        <v>10</v>
      </c>
      <c r="B3" s="26" t="s">
        <v>13</v>
      </c>
      <c r="C3" s="27"/>
      <c r="D3" s="28"/>
      <c r="E3" s="11"/>
      <c r="F3" s="11"/>
      <c r="G3" s="11"/>
      <c r="H3" s="11"/>
      <c r="I3" s="14"/>
      <c r="J3" s="14"/>
      <c r="K3" s="14"/>
      <c r="L3" s="14"/>
      <c r="M3" s="14"/>
      <c r="N3" s="14"/>
      <c r="O3" s="14"/>
      <c r="P3" s="14"/>
      <c r="Q3" s="14"/>
      <c r="R3" s="14"/>
      <c r="S3" s="14"/>
      <c r="T3" s="14"/>
      <c r="U3" s="14"/>
      <c r="V3" s="14"/>
      <c r="W3" s="14"/>
      <c r="X3" s="14"/>
    </row>
    <row r="4">
      <c r="A4" s="22" t="s">
        <v>19</v>
      </c>
      <c r="B4" s="33" t="s">
        <v>933</v>
      </c>
      <c r="C4" s="27"/>
      <c r="D4" s="28"/>
      <c r="E4" s="11"/>
      <c r="F4" s="11"/>
      <c r="G4" s="11"/>
      <c r="H4" s="11"/>
      <c r="I4" s="14"/>
      <c r="J4" s="14"/>
      <c r="K4" s="14"/>
      <c r="L4" s="14"/>
      <c r="M4" s="14"/>
      <c r="N4" s="14"/>
      <c r="O4" s="14"/>
      <c r="P4" s="14"/>
      <c r="Q4" s="14"/>
      <c r="R4" s="14"/>
      <c r="S4" s="14"/>
      <c r="T4" s="14"/>
      <c r="U4" s="14"/>
      <c r="V4" s="14"/>
      <c r="W4" s="14"/>
      <c r="X4" s="14"/>
    </row>
    <row r="5">
      <c r="A5" s="22" t="s">
        <v>23</v>
      </c>
      <c r="B5" s="26" t="s">
        <v>934</v>
      </c>
      <c r="C5" s="27"/>
      <c r="D5" s="28"/>
      <c r="E5" s="11"/>
      <c r="F5" s="11"/>
      <c r="G5" s="11"/>
      <c r="H5" s="11"/>
      <c r="I5" s="14"/>
      <c r="J5" s="14"/>
      <c r="K5" s="14"/>
      <c r="L5" s="14"/>
      <c r="M5" s="14"/>
      <c r="N5" s="14"/>
      <c r="O5" s="14"/>
      <c r="P5" s="14"/>
      <c r="Q5" s="14"/>
      <c r="R5" s="14"/>
      <c r="S5" s="14"/>
      <c r="T5" s="14"/>
      <c r="U5" s="14"/>
      <c r="V5" s="14"/>
      <c r="W5" s="14"/>
      <c r="X5" s="14"/>
    </row>
    <row r="6">
      <c r="A6" s="39" t="s">
        <v>14</v>
      </c>
      <c r="B6" s="42">
        <v>4.0</v>
      </c>
      <c r="C6" s="47" t="s">
        <v>16</v>
      </c>
      <c r="D6" s="49">
        <v>0.0</v>
      </c>
      <c r="E6" s="11"/>
      <c r="F6" s="11"/>
      <c r="G6" s="11"/>
      <c r="H6" s="11"/>
      <c r="I6" s="14"/>
      <c r="J6" s="14"/>
      <c r="K6" s="14"/>
      <c r="L6" s="14"/>
      <c r="M6" s="14"/>
      <c r="N6" s="14"/>
      <c r="O6" s="14"/>
      <c r="P6" s="14"/>
      <c r="Q6" s="14"/>
      <c r="R6" s="14"/>
      <c r="S6" s="14"/>
      <c r="T6" s="14"/>
      <c r="U6" s="14"/>
      <c r="V6" s="14"/>
      <c r="W6" s="14"/>
      <c r="X6" s="14"/>
    </row>
    <row r="7">
      <c r="A7" s="39" t="s">
        <v>15</v>
      </c>
      <c r="B7" s="42">
        <v>0.0</v>
      </c>
      <c r="C7" s="52" t="s">
        <v>36</v>
      </c>
      <c r="D7" s="49">
        <v>4.0</v>
      </c>
      <c r="E7" s="11"/>
      <c r="F7" s="11"/>
      <c r="G7" s="11"/>
      <c r="H7" s="11"/>
      <c r="I7" s="14"/>
      <c r="J7" s="14"/>
      <c r="K7" s="14"/>
      <c r="L7" s="14"/>
      <c r="M7" s="14"/>
      <c r="N7" s="14"/>
      <c r="O7" s="14"/>
      <c r="P7" s="14"/>
      <c r="Q7" s="14"/>
      <c r="R7" s="14"/>
      <c r="S7" s="14"/>
      <c r="T7" s="14"/>
      <c r="U7" s="14"/>
      <c r="V7" s="14"/>
      <c r="W7" s="14"/>
      <c r="X7" s="14"/>
    </row>
    <row r="8">
      <c r="A8" s="54"/>
      <c r="B8" s="56"/>
      <c r="C8" s="56"/>
      <c r="D8" s="56"/>
      <c r="E8" s="11"/>
      <c r="F8" s="11"/>
      <c r="G8" s="11"/>
      <c r="H8" s="11"/>
      <c r="I8" s="57"/>
      <c r="J8" s="57"/>
      <c r="K8" s="14"/>
      <c r="L8" s="14"/>
      <c r="M8" s="14"/>
      <c r="N8" s="14"/>
      <c r="O8" s="14"/>
      <c r="P8" s="14"/>
      <c r="Q8" s="14"/>
      <c r="R8" s="14"/>
      <c r="S8" s="14"/>
      <c r="T8" s="14"/>
      <c r="U8" s="14"/>
      <c r="V8" s="14"/>
      <c r="W8" s="14"/>
      <c r="X8" s="14"/>
    </row>
    <row r="9">
      <c r="A9" s="59" t="s">
        <v>38</v>
      </c>
      <c r="B9" s="60" t="s">
        <v>39</v>
      </c>
      <c r="C9" s="59" t="s">
        <v>40</v>
      </c>
      <c r="D9" s="64" t="s">
        <v>41</v>
      </c>
      <c r="G9" s="59" t="s">
        <v>43</v>
      </c>
      <c r="H9" s="67" t="s">
        <v>44</v>
      </c>
      <c r="I9" s="67" t="s">
        <v>49</v>
      </c>
      <c r="J9" s="67" t="s">
        <v>50</v>
      </c>
      <c r="K9" s="14"/>
      <c r="L9" s="14"/>
      <c r="M9" s="14"/>
      <c r="N9" s="14"/>
      <c r="O9" s="14"/>
      <c r="P9" s="14"/>
      <c r="Q9" s="14"/>
      <c r="R9" s="14"/>
      <c r="S9" s="14"/>
      <c r="T9" s="14"/>
      <c r="U9" s="14"/>
      <c r="V9" s="14"/>
      <c r="W9" s="14"/>
      <c r="X9" s="14"/>
    </row>
    <row r="10">
      <c r="A10" s="72"/>
      <c r="B10" s="72"/>
      <c r="C10" s="72"/>
      <c r="D10" s="75"/>
      <c r="E10" s="17"/>
      <c r="F10" s="17"/>
      <c r="G10" s="72"/>
      <c r="H10" s="72"/>
      <c r="I10" s="72"/>
      <c r="J10" s="72"/>
      <c r="K10" s="14"/>
      <c r="L10" s="14"/>
      <c r="M10" s="14"/>
      <c r="N10" s="14"/>
      <c r="O10" s="14"/>
      <c r="P10" s="14"/>
      <c r="Q10" s="14"/>
      <c r="R10" s="14"/>
      <c r="S10" s="14"/>
      <c r="T10" s="14"/>
      <c r="U10" s="14"/>
      <c r="V10" s="14"/>
      <c r="W10" s="14"/>
      <c r="X10" s="14"/>
    </row>
    <row r="11">
      <c r="A11" s="77"/>
      <c r="B11" s="138"/>
      <c r="C11" s="27"/>
      <c r="D11" s="27"/>
      <c r="E11" s="27"/>
      <c r="F11" s="27"/>
      <c r="G11" s="27"/>
      <c r="H11" s="27"/>
      <c r="I11" s="27"/>
      <c r="J11" s="28"/>
      <c r="K11" s="14"/>
      <c r="L11" s="14"/>
      <c r="M11" s="14"/>
      <c r="N11" s="14"/>
      <c r="O11" s="14"/>
      <c r="P11" s="14"/>
      <c r="Q11" s="14"/>
      <c r="R11" s="14"/>
      <c r="S11" s="14"/>
      <c r="T11" s="14"/>
      <c r="U11" s="14"/>
      <c r="V11" s="14"/>
      <c r="W11" s="14"/>
      <c r="X11" s="14"/>
    </row>
    <row r="12">
      <c r="A12" s="79" t="s">
        <v>935</v>
      </c>
      <c r="B12" s="27"/>
      <c r="C12" s="27"/>
      <c r="D12" s="27"/>
      <c r="E12" s="27"/>
      <c r="F12" s="27"/>
      <c r="G12" s="27"/>
      <c r="H12" s="27"/>
      <c r="I12" s="27"/>
      <c r="J12" s="28"/>
      <c r="K12" s="14"/>
      <c r="L12" s="14"/>
      <c r="M12" s="14"/>
      <c r="N12" s="14"/>
      <c r="O12" s="14"/>
      <c r="P12" s="14"/>
      <c r="Q12" s="14"/>
      <c r="R12" s="14"/>
      <c r="S12" s="14"/>
      <c r="T12" s="14"/>
      <c r="U12" s="14"/>
      <c r="V12" s="14"/>
      <c r="W12" s="14"/>
      <c r="X12" s="14"/>
    </row>
    <row r="13" ht="156.75" customHeight="1">
      <c r="A13" s="80" t="s">
        <v>936</v>
      </c>
      <c r="B13" s="81" t="s">
        <v>937</v>
      </c>
      <c r="C13" s="82" t="s">
        <v>938</v>
      </c>
      <c r="D13" s="83" t="s">
        <v>939</v>
      </c>
      <c r="E13" s="27"/>
      <c r="F13" s="27"/>
      <c r="G13" s="85" t="s">
        <v>940</v>
      </c>
      <c r="H13" s="86">
        <v>46256.0</v>
      </c>
      <c r="I13" s="80" t="s">
        <v>14</v>
      </c>
      <c r="J13" s="82" t="s">
        <v>941</v>
      </c>
      <c r="K13" s="14"/>
      <c r="L13" s="14"/>
      <c r="M13" s="14"/>
      <c r="N13" s="14"/>
      <c r="O13" s="14"/>
      <c r="P13" s="14"/>
      <c r="Q13" s="14"/>
      <c r="R13" s="14"/>
      <c r="S13" s="14"/>
      <c r="T13" s="14"/>
      <c r="U13" s="14"/>
      <c r="V13" s="14"/>
      <c r="W13" s="14"/>
      <c r="X13" s="14"/>
    </row>
    <row r="14" ht="15.75" customHeight="1">
      <c r="A14" s="79" t="s">
        <v>942</v>
      </c>
      <c r="B14" s="27"/>
      <c r="C14" s="27"/>
      <c r="D14" s="27"/>
      <c r="E14" s="27"/>
      <c r="F14" s="27"/>
      <c r="G14" s="27"/>
      <c r="H14" s="27"/>
      <c r="I14" s="27"/>
      <c r="J14" s="28"/>
      <c r="K14" s="14"/>
      <c r="L14" s="14"/>
      <c r="M14" s="14"/>
      <c r="N14" s="14"/>
      <c r="O14" s="14"/>
      <c r="P14" s="14"/>
      <c r="Q14" s="14"/>
      <c r="R14" s="14"/>
      <c r="S14" s="14"/>
      <c r="T14" s="14"/>
      <c r="U14" s="14"/>
      <c r="V14" s="14"/>
      <c r="W14" s="14"/>
      <c r="X14" s="14"/>
    </row>
    <row r="15" ht="177.0" customHeight="1">
      <c r="A15" s="80" t="s">
        <v>943</v>
      </c>
      <c r="B15" s="81" t="s">
        <v>944</v>
      </c>
      <c r="C15" s="82" t="s">
        <v>945</v>
      </c>
      <c r="D15" s="83" t="s">
        <v>946</v>
      </c>
      <c r="E15" s="27"/>
      <c r="F15" s="27"/>
      <c r="G15" s="85" t="s">
        <v>947</v>
      </c>
      <c r="H15" s="86">
        <v>46256.0</v>
      </c>
      <c r="I15" s="80" t="s">
        <v>14</v>
      </c>
      <c r="J15" s="82" t="s">
        <v>948</v>
      </c>
      <c r="K15" s="14"/>
      <c r="L15" s="14"/>
      <c r="M15" s="14"/>
      <c r="N15" s="14"/>
      <c r="O15" s="14"/>
      <c r="P15" s="14"/>
      <c r="Q15" s="14"/>
      <c r="R15" s="14"/>
      <c r="S15" s="14"/>
      <c r="T15" s="14"/>
      <c r="U15" s="14"/>
      <c r="V15" s="14"/>
      <c r="W15" s="14"/>
      <c r="X15" s="14"/>
    </row>
    <row r="16" ht="165.75" customHeight="1">
      <c r="A16" s="80" t="s">
        <v>949</v>
      </c>
      <c r="B16" s="81" t="s">
        <v>950</v>
      </c>
      <c r="C16" s="82" t="s">
        <v>951</v>
      </c>
      <c r="D16" s="83" t="s">
        <v>952</v>
      </c>
      <c r="E16" s="27"/>
      <c r="F16" s="27"/>
      <c r="G16" s="85" t="s">
        <v>953</v>
      </c>
      <c r="H16" s="86">
        <v>46256.0</v>
      </c>
      <c r="I16" s="80" t="s">
        <v>14</v>
      </c>
      <c r="J16" s="82" t="s">
        <v>954</v>
      </c>
      <c r="K16" s="14"/>
      <c r="L16" s="14"/>
      <c r="M16" s="14"/>
      <c r="N16" s="14"/>
      <c r="O16" s="14"/>
      <c r="P16" s="14"/>
      <c r="Q16" s="14"/>
      <c r="R16" s="14"/>
      <c r="S16" s="14"/>
      <c r="T16" s="14"/>
      <c r="U16" s="14"/>
      <c r="V16" s="14"/>
      <c r="W16" s="14"/>
      <c r="X16" s="14"/>
    </row>
    <row r="17" ht="155.25" customHeight="1">
      <c r="A17" s="80" t="s">
        <v>955</v>
      </c>
      <c r="B17" s="81" t="s">
        <v>956</v>
      </c>
      <c r="C17" s="82" t="s">
        <v>957</v>
      </c>
      <c r="D17" s="83" t="s">
        <v>958</v>
      </c>
      <c r="E17" s="27"/>
      <c r="F17" s="27"/>
      <c r="G17" s="85" t="s">
        <v>959</v>
      </c>
      <c r="H17" s="86">
        <v>46256.0</v>
      </c>
      <c r="I17" s="80" t="s">
        <v>14</v>
      </c>
      <c r="J17" s="82" t="s">
        <v>960</v>
      </c>
      <c r="K17" s="14"/>
      <c r="L17" s="14"/>
      <c r="M17" s="14"/>
      <c r="N17" s="14"/>
      <c r="O17" s="14"/>
      <c r="P17" s="14"/>
      <c r="Q17" s="14"/>
      <c r="R17" s="14"/>
      <c r="S17" s="14"/>
      <c r="T17" s="14"/>
      <c r="U17" s="14"/>
      <c r="V17" s="14"/>
      <c r="W17" s="14"/>
      <c r="X17"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row>
    <row r="27">
      <c r="A27" s="14"/>
      <c r="B27" s="14"/>
      <c r="C27" s="14"/>
      <c r="D27" s="14"/>
      <c r="E27" s="14"/>
      <c r="F27" s="14"/>
      <c r="G27" s="127"/>
      <c r="H27" s="14"/>
      <c r="I27" s="14"/>
      <c r="J27" s="14"/>
      <c r="K27" s="14"/>
      <c r="L27" s="14"/>
      <c r="M27" s="14"/>
      <c r="N27" s="14"/>
      <c r="O27" s="14"/>
      <c r="P27" s="14"/>
      <c r="Q27" s="14"/>
      <c r="R27" s="14"/>
      <c r="S27" s="14"/>
      <c r="T27" s="14"/>
      <c r="U27" s="14"/>
      <c r="V27" s="14"/>
      <c r="W27" s="14"/>
      <c r="X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row>
  </sheetData>
  <mergeCells count="19">
    <mergeCell ref="B1:D2"/>
    <mergeCell ref="B3:D3"/>
    <mergeCell ref="B4:D4"/>
    <mergeCell ref="B5:D5"/>
    <mergeCell ref="A9:A10"/>
    <mergeCell ref="B9:B10"/>
    <mergeCell ref="C9:C10"/>
    <mergeCell ref="D13:F13"/>
    <mergeCell ref="A14:J14"/>
    <mergeCell ref="D15:F15"/>
    <mergeCell ref="D16:F16"/>
    <mergeCell ref="D17:F17"/>
    <mergeCell ref="D9:F10"/>
    <mergeCell ref="G9:G10"/>
    <mergeCell ref="H9:H10"/>
    <mergeCell ref="I9:I10"/>
    <mergeCell ref="J9:J10"/>
    <mergeCell ref="B11:J11"/>
    <mergeCell ref="A12:J12"/>
  </mergeCells>
  <hyperlinks>
    <hyperlink r:id="rId1" ref="G13"/>
    <hyperlink r:id="rId2" ref="G15"/>
    <hyperlink r:id="rId3" ref="G16"/>
    <hyperlink r:id="rId4" ref="G17"/>
  </hyperlinks>
  <drawing r:id="rId5"/>
</worksheet>
</file>